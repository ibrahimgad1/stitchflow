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شش\موديلات\تشغيل\"/>
    </mc:Choice>
  </mc:AlternateContent>
  <xr:revisionPtr revIDLastSave="0" documentId="13_ncr:1_{82D29FAC-EE59-49E9-A36D-811E108744D6}" xr6:coauthVersionLast="47" xr6:coauthVersionMax="47" xr10:uidLastSave="{00000000-0000-0000-0000-000000000000}"/>
  <bookViews>
    <workbookView xWindow="-108" yWindow="-108" windowWidth="23256" windowHeight="13176" xr2:uid="{8D71C9D4-FA29-4C8D-A28B-E1A8E030FC5D}"/>
  </bookViews>
  <sheets>
    <sheet name="الموديل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M3" i="1"/>
  <c r="L3" i="1"/>
  <c r="K3" i="1"/>
  <c r="J3" i="1"/>
  <c r="N3" i="1"/>
  <c r="G3" i="1"/>
  <c r="P3" i="1" l="1"/>
  <c r="Q3" i="1" s="1"/>
</calcChain>
</file>

<file path=xl/sharedStrings.xml><?xml version="1.0" encoding="utf-8"?>
<sst xmlns="http://schemas.openxmlformats.org/spreadsheetml/2006/main" count="21" uniqueCount="21">
  <si>
    <t>سعر القطعه</t>
  </si>
  <si>
    <t>اجمالي</t>
  </si>
  <si>
    <t>مصنعيه</t>
  </si>
  <si>
    <t>باترون</t>
  </si>
  <si>
    <t xml:space="preserve">سعر االقص </t>
  </si>
  <si>
    <t xml:space="preserve">الاجمالي </t>
  </si>
  <si>
    <t xml:space="preserve">سعر الخام </t>
  </si>
  <si>
    <t xml:space="preserve">الوزن الخام </t>
  </si>
  <si>
    <t xml:space="preserve">الوان الموديل </t>
  </si>
  <si>
    <t xml:space="preserve">عدد الموديل </t>
  </si>
  <si>
    <t xml:space="preserve">اسم الموديل </t>
  </si>
  <si>
    <t>الكود</t>
  </si>
  <si>
    <t>اكياس وتكت</t>
  </si>
  <si>
    <t>تشطيب ومكوه</t>
  </si>
  <si>
    <t>B110</t>
  </si>
  <si>
    <t xml:space="preserve">شانيه </t>
  </si>
  <si>
    <t>اسود</t>
  </si>
  <si>
    <t>شروال قصات انترلوك</t>
  </si>
  <si>
    <t xml:space="preserve">احبال </t>
  </si>
  <si>
    <t>حديده اكسسوار</t>
  </si>
  <si>
    <t xml:space="preserve">استك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</si>
</sst>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ج.م.‏-C01]_-;\-* #,##0.00\ [$ج.م.‏-C01]_-;_-* &quot;-&quot;??\ [$ج.م.‏-C01]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7326-E178-436C-BA13-08D53EB11B26}">
  <sheetPr>
    <pageSetUpPr fitToPage="1"/>
  </sheetPr>
  <dimension ref="A2:Q24"/>
  <sheetViews>
    <sheetView rightToLeft="1" tabSelected="1" zoomScale="75" workbookViewId="0">
      <selection activeCell="G13" sqref="G13:G14"/>
    </sheetView>
  </sheetViews>
  <sheetFormatPr defaultRowHeight="14.4" x14ac:dyDescent="0.3"/>
  <cols>
    <col min="2" max="2" width="23" customWidth="1"/>
    <col min="3" max="3" width="14.88671875" customWidth="1"/>
    <col min="4" max="4" width="16.44140625" customWidth="1"/>
    <col min="5" max="5" width="15.5546875" customWidth="1"/>
    <col min="6" max="6" width="17.77734375" customWidth="1"/>
    <col min="7" max="7" width="19.21875" customWidth="1"/>
    <col min="8" max="8" width="13.44140625" customWidth="1"/>
    <col min="9" max="9" width="13.33203125" customWidth="1"/>
    <col min="10" max="10" width="12.6640625" bestFit="1" customWidth="1"/>
    <col min="11" max="11" width="15.88671875" customWidth="1"/>
    <col min="12" max="12" width="17.88671875" customWidth="1"/>
    <col min="13" max="13" width="16.6640625" customWidth="1"/>
    <col min="14" max="15" width="13.44140625" customWidth="1"/>
    <col min="16" max="16" width="16.109375" customWidth="1"/>
    <col min="17" max="17" width="13.6640625" customWidth="1"/>
    <col min="18" max="18" width="13.77734375" bestFit="1" customWidth="1"/>
    <col min="19" max="19" width="11.109375" bestFit="1" customWidth="1"/>
  </cols>
  <sheetData>
    <row r="2" spans="1:17" x14ac:dyDescent="0.3">
      <c r="A2" s="4" t="s">
        <v>11</v>
      </c>
      <c r="B2" s="4" t="s">
        <v>10</v>
      </c>
      <c r="C2" s="4" t="s">
        <v>9</v>
      </c>
      <c r="D2" s="4" t="s">
        <v>8</v>
      </c>
      <c r="E2" s="4" t="s">
        <v>7</v>
      </c>
      <c r="F2" s="4" t="s">
        <v>6</v>
      </c>
      <c r="G2" s="3" t="s">
        <v>5</v>
      </c>
      <c r="H2" s="3" t="s">
        <v>4</v>
      </c>
      <c r="I2" s="3" t="s">
        <v>3</v>
      </c>
      <c r="J2" s="3" t="s">
        <v>18</v>
      </c>
      <c r="K2" s="3" t="s">
        <v>12</v>
      </c>
      <c r="L2" s="3" t="s">
        <v>19</v>
      </c>
      <c r="M2" s="3" t="s">
        <v>2</v>
      </c>
      <c r="N2" s="3" t="s">
        <v>13</v>
      </c>
      <c r="O2" s="3" t="s">
        <v>20</v>
      </c>
      <c r="P2" s="3" t="s">
        <v>1</v>
      </c>
      <c r="Q2" s="3" t="s">
        <v>0</v>
      </c>
    </row>
    <row r="3" spans="1:17" x14ac:dyDescent="0.3">
      <c r="A3" s="2" t="s">
        <v>14</v>
      </c>
      <c r="B3" s="2" t="s">
        <v>17</v>
      </c>
      <c r="C3" s="2">
        <v>76</v>
      </c>
      <c r="D3" s="2" t="s">
        <v>15</v>
      </c>
      <c r="E3" s="2">
        <v>26</v>
      </c>
      <c r="F3" s="2">
        <v>370</v>
      </c>
      <c r="G3" s="1">
        <f>SUM(E3:E5)*F3</f>
        <v>19388</v>
      </c>
      <c r="H3" s="1">
        <v>230</v>
      </c>
      <c r="I3" s="1">
        <v>500</v>
      </c>
      <c r="J3" s="1">
        <f>4*C3</f>
        <v>304</v>
      </c>
      <c r="K3" s="1">
        <f>5*C3</f>
        <v>380</v>
      </c>
      <c r="L3" s="1">
        <f>5*C3</f>
        <v>380</v>
      </c>
      <c r="M3" s="1">
        <f>30*C3</f>
        <v>2280</v>
      </c>
      <c r="N3" s="1">
        <f>5*C3</f>
        <v>380</v>
      </c>
      <c r="O3" s="1">
        <f>360</f>
        <v>360</v>
      </c>
      <c r="P3" s="1">
        <f>G3+H3+I3+J3+K3+L3+M3+N3</f>
        <v>23842</v>
      </c>
      <c r="Q3" s="1">
        <f>P3/C3</f>
        <v>313.71052631578948</v>
      </c>
    </row>
    <row r="4" spans="1:17" x14ac:dyDescent="0.3">
      <c r="A4" s="2"/>
      <c r="B4" s="2"/>
      <c r="C4" s="2"/>
      <c r="D4" s="2" t="s">
        <v>16</v>
      </c>
      <c r="E4" s="2">
        <v>26.4</v>
      </c>
      <c r="F4" s="2">
        <v>370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2"/>
      <c r="B5" s="2"/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">
      <c r="A6" s="2"/>
      <c r="B6" s="2"/>
      <c r="C6" s="2"/>
      <c r="D6" s="2"/>
      <c r="E6" s="2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A7" s="2"/>
      <c r="B7" s="2"/>
      <c r="C7" s="2"/>
      <c r="D7" s="2"/>
      <c r="E7" s="2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A8" s="2"/>
      <c r="B8" s="2"/>
      <c r="C8" s="2"/>
      <c r="D8" s="2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 s="2"/>
      <c r="B9" s="2"/>
      <c r="C9" s="2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s="2"/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2"/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2"/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2"/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2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2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2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2"/>
      <c r="B17" s="2"/>
      <c r="C17" s="2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2"/>
      <c r="B18" s="2"/>
      <c r="C18" s="2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2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2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2"/>
      <c r="B21" s="2"/>
      <c r="C21" s="2"/>
      <c r="D21" s="2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2"/>
      <c r="B22" s="2"/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2"/>
      <c r="B23" s="2"/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2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</sheetData>
  <pageMargins left="0.7" right="0.7" top="0.75" bottom="0.75" header="0.3" footer="0.3"/>
  <pageSetup paperSize="8"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C4EC-3075-4F98-AC38-C7E543B05A3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الموديل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20210546</dc:creator>
  <cp:lastModifiedBy>20210546</cp:lastModifiedBy>
  <cp:lastPrinted>2026-08-13T23:46:56Z</cp:lastPrinted>
  <dcterms:created xsi:type="dcterms:W3CDTF">2026-04-15T16:01:18Z</dcterms:created>
  <dcterms:modified xsi:type="dcterms:W3CDTF">2026-08-13T23:47:00Z</dcterms:modified>
</cp:coreProperties>
</file>