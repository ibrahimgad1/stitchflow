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6"/>
  <workbookPr/>
  <mc:AlternateContent xmlns:mc="http://schemas.openxmlformats.org/markup-compatibility/2006">
    <mc:Choice Requires="x15">
      <x15ac:absPath xmlns:x15ac="http://schemas.microsoft.com/office/spreadsheetml/2010/11/ac" url="C:\Users\BELAL\Downloads\"/>
    </mc:Choice>
  </mc:AlternateContent>
  <xr:revisionPtr revIDLastSave="0" documentId="13_ncr:1_{266F081A-DB40-47BA-A208-CB51BF07F3A5}" xr6:coauthVersionLast="47" xr6:coauthVersionMax="47" xr10:uidLastSave="{00000000-0000-0000-0000-000000000000}"/>
  <bookViews>
    <workbookView xWindow="-108" yWindow="-108" windowWidth="23256" windowHeight="12456" tabRatio="968" xr2:uid="{00000000-000D-0000-FFFF-FFFF00000000}"/>
  </bookViews>
  <sheets>
    <sheet name="المخزن" sheetId="1" r:id="rId1"/>
    <sheet name="4K حموده" sheetId="2" r:id="rId2"/>
    <sheet name="مكتب القاضي" sheetId="3" r:id="rId3"/>
    <sheet name="الاتشو" sheetId="4" r:id="rId4"/>
    <sheet name="علاء بوم ارض النت" sheetId="5" r:id="rId5"/>
    <sheet name="كيمو ميت ابو خالد" sheetId="6" r:id="rId6"/>
    <sheet name="KAZO" sheetId="7" r:id="rId7"/>
    <sheet name="LAFY" sheetId="8" r:id="rId8"/>
    <sheet name="POINT زفتي (جديد)" sheetId="9" r:id="rId9"/>
    <sheet name="POINT سعد زغلول (قديم)" sheetId="10" r:id="rId10"/>
    <sheet name="POWER ارض النت" sheetId="11" r:id="rId11"/>
    <sheet name="POWER زفتي" sheetId="12" r:id="rId12"/>
    <sheet name="احمد المنوفي" sheetId="13" r:id="rId13"/>
    <sheet name="السفير" sheetId="14" r:id="rId14"/>
    <sheet name="العالمي" sheetId="15" r:id="rId15"/>
    <sheet name="باهي التركي" sheetId="16" r:id="rId16"/>
    <sheet name="توتي دماص" sheetId="17" r:id="rId17"/>
    <sheet name="رضا محمد" sheetId="18" r:id="rId18"/>
    <sheet name="زومبي العشري" sheetId="19" r:id="rId19"/>
    <sheet name="محمد عرابي" sheetId="20" r:id="rId20"/>
    <sheet name="عم جمال" sheetId="21" r:id="rId21"/>
    <sheet name="فاير سيليكت" sheetId="22" r:id="rId22"/>
    <sheet name="فرانكو" sheetId="23" r:id="rId23"/>
    <sheet name="كريم بكر" sheetId="24" r:id="rId24"/>
    <sheet name="بفرا" sheetId="25" r:id="rId25"/>
    <sheet name="محل كوم النور" sheetId="26" r:id="rId26"/>
    <sheet name="محمد النجار" sheetId="27" r:id="rId27"/>
    <sheet name="محمود عبدالرسول" sheetId="28" r:id="rId28"/>
    <sheet name="مول المصطفي" sheetId="29" r:id="rId29"/>
    <sheet name="مصانع" sheetId="30" r:id="rId3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3" i="22" l="1"/>
  <c r="F12" i="22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B23" i="1"/>
  <c r="B20" i="1"/>
  <c r="B21" i="1"/>
  <c r="B3" i="1"/>
  <c r="C3" i="1"/>
  <c r="D3" i="1"/>
  <c r="E3" i="1"/>
  <c r="F3" i="1"/>
  <c r="G3" i="1"/>
  <c r="H3" i="1"/>
  <c r="I3" i="1"/>
  <c r="J3" i="1"/>
  <c r="K3" i="1"/>
  <c r="L3" i="1"/>
  <c r="M3" i="1"/>
  <c r="N3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35" i="1"/>
  <c r="AE36" i="1"/>
  <c r="AE37" i="1"/>
  <c r="AE38" i="1"/>
  <c r="AE39" i="1"/>
  <c r="AE40" i="1"/>
  <c r="AE41" i="1"/>
  <c r="AE42" i="1"/>
  <c r="AE43" i="1"/>
  <c r="G32" i="8"/>
  <c r="G31" i="8"/>
  <c r="G30" i="8"/>
  <c r="H3" i="30"/>
  <c r="H4" i="30" s="1"/>
  <c r="H5" i="30" s="1"/>
  <c r="H6" i="30" s="1"/>
  <c r="H7" i="30" s="1"/>
  <c r="H8" i="30" s="1"/>
  <c r="H9" i="30" s="1"/>
  <c r="H10" i="30" s="1"/>
  <c r="H11" i="30" s="1"/>
  <c r="H12" i="30" s="1"/>
  <c r="H13" i="30" s="1"/>
  <c r="H14" i="30" s="1"/>
  <c r="H15" i="30" s="1"/>
  <c r="H16" i="30" s="1"/>
  <c r="H17" i="30" s="1"/>
  <c r="H18" i="30" s="1"/>
  <c r="H19" i="30" s="1"/>
  <c r="H20" i="30" s="1"/>
  <c r="H21" i="30" s="1"/>
  <c r="H22" i="30" s="1"/>
  <c r="H23" i="30" s="1"/>
  <c r="H24" i="30" s="1"/>
  <c r="H3" i="29"/>
  <c r="H4" i="29" s="1"/>
  <c r="H5" i="29" s="1"/>
  <c r="H6" i="29" s="1"/>
  <c r="H7" i="29" s="1"/>
  <c r="H8" i="29" s="1"/>
  <c r="H9" i="29" s="1"/>
  <c r="H10" i="29" s="1"/>
  <c r="H11" i="29" s="1"/>
  <c r="H12" i="29" s="1"/>
  <c r="H13" i="29" s="1"/>
  <c r="H14" i="29" s="1"/>
  <c r="H15" i="29" s="1"/>
  <c r="H16" i="29" s="1"/>
  <c r="H17" i="29" s="1"/>
  <c r="H18" i="29" s="1"/>
  <c r="H19" i="29" s="1"/>
  <c r="H20" i="29" s="1"/>
  <c r="H21" i="29" s="1"/>
  <c r="H22" i="29" s="1"/>
  <c r="H23" i="29" s="1"/>
  <c r="H24" i="29" s="1"/>
  <c r="H25" i="29" s="1"/>
  <c r="H26" i="29" s="1"/>
  <c r="H27" i="29" s="1"/>
  <c r="H28" i="29" s="1"/>
  <c r="H29" i="29" s="1"/>
  <c r="H30" i="29" s="1"/>
  <c r="H31" i="29" s="1"/>
  <c r="H32" i="29" s="1"/>
  <c r="H33" i="29" s="1"/>
  <c r="H34" i="29" s="1"/>
  <c r="H35" i="29" s="1"/>
  <c r="H36" i="29" s="1"/>
  <c r="H37" i="29" s="1"/>
  <c r="H38" i="29" s="1"/>
  <c r="H39" i="29" s="1"/>
  <c r="H40" i="29" s="1"/>
  <c r="H41" i="29" s="1"/>
  <c r="H42" i="29" s="1"/>
  <c r="H43" i="29" s="1"/>
  <c r="H44" i="29" s="1"/>
  <c r="H45" i="29" s="1"/>
  <c r="H46" i="29" s="1"/>
  <c r="H3" i="28"/>
  <c r="H4" i="28" s="1"/>
  <c r="H5" i="28" s="1"/>
  <c r="H6" i="28" s="1"/>
  <c r="H7" i="28" s="1"/>
  <c r="H8" i="28" s="1"/>
  <c r="H9" i="28" s="1"/>
  <c r="H10" i="28" s="1"/>
  <c r="H11" i="28" s="1"/>
  <c r="H12" i="28" s="1"/>
  <c r="H13" i="28" s="1"/>
  <c r="H14" i="28" s="1"/>
  <c r="H15" i="28" s="1"/>
  <c r="H16" i="28" s="1"/>
  <c r="H17" i="28" s="1"/>
  <c r="H18" i="28" s="1"/>
  <c r="H19" i="28" s="1"/>
  <c r="H20" i="28" s="1"/>
  <c r="H21" i="28" s="1"/>
  <c r="H22" i="28" s="1"/>
  <c r="H23" i="28" s="1"/>
  <c r="H24" i="28" s="1"/>
  <c r="H25" i="28" s="1"/>
  <c r="H26" i="28" s="1"/>
  <c r="H27" i="28" s="1"/>
  <c r="H28" i="28" s="1"/>
  <c r="H29" i="28" s="1"/>
  <c r="H30" i="28" s="1"/>
  <c r="H31" i="28" s="1"/>
  <c r="H32" i="28" s="1"/>
  <c r="H33" i="28" s="1"/>
  <c r="H34" i="28" s="1"/>
  <c r="H35" i="28" s="1"/>
  <c r="H36" i="28" s="1"/>
  <c r="H37" i="28" s="1"/>
  <c r="H38" i="28" s="1"/>
  <c r="H39" i="28" s="1"/>
  <c r="H40" i="28" s="1"/>
  <c r="H41" i="28" s="1"/>
  <c r="H42" i="28" s="1"/>
  <c r="H43" i="28" s="1"/>
  <c r="H44" i="28" s="1"/>
  <c r="H45" i="28" s="1"/>
  <c r="H46" i="28" s="1"/>
  <c r="H47" i="28" s="1"/>
  <c r="H48" i="28" s="1"/>
  <c r="H49" i="28" s="1"/>
  <c r="H50" i="28" s="1"/>
  <c r="H51" i="28" s="1"/>
  <c r="H3" i="27"/>
  <c r="H4" i="27" s="1"/>
  <c r="H5" i="27" s="1"/>
  <c r="H6" i="27" s="1"/>
  <c r="H7" i="27" s="1"/>
  <c r="H8" i="27" s="1"/>
  <c r="H9" i="27" s="1"/>
  <c r="H10" i="27" s="1"/>
  <c r="H11" i="27" s="1"/>
  <c r="H12" i="27" s="1"/>
  <c r="H13" i="27" s="1"/>
  <c r="H14" i="27" s="1"/>
  <c r="H15" i="27" s="1"/>
  <c r="H16" i="27" s="1"/>
  <c r="H17" i="27" s="1"/>
  <c r="H18" i="27" s="1"/>
  <c r="H19" i="27" s="1"/>
  <c r="H20" i="27" s="1"/>
  <c r="H21" i="27" s="1"/>
  <c r="H22" i="27" s="1"/>
  <c r="H23" i="27" s="1"/>
  <c r="H24" i="27" s="1"/>
  <c r="H25" i="27" s="1"/>
  <c r="H3" i="26"/>
  <c r="H4" i="26" s="1"/>
  <c r="H5" i="26" s="1"/>
  <c r="H6" i="26" s="1"/>
  <c r="H7" i="26" s="1"/>
  <c r="H8" i="26" s="1"/>
  <c r="H9" i="26" s="1"/>
  <c r="H10" i="26" s="1"/>
  <c r="H11" i="26" s="1"/>
  <c r="H12" i="26" s="1"/>
  <c r="H13" i="26" s="1"/>
  <c r="H14" i="26" s="1"/>
  <c r="H15" i="26" s="1"/>
  <c r="H16" i="26" s="1"/>
  <c r="H17" i="26" s="1"/>
  <c r="H18" i="26" s="1"/>
  <c r="H19" i="26" s="1"/>
  <c r="H20" i="26" s="1"/>
  <c r="H21" i="26" s="1"/>
  <c r="H22" i="26" s="1"/>
  <c r="H23" i="26" s="1"/>
  <c r="H24" i="26" s="1"/>
  <c r="H25" i="26" s="1"/>
  <c r="H26" i="26" s="1"/>
  <c r="H27" i="26" s="1"/>
  <c r="H28" i="26" s="1"/>
  <c r="H29" i="26" s="1"/>
  <c r="H30" i="26" s="1"/>
  <c r="H31" i="26" s="1"/>
  <c r="H32" i="26" s="1"/>
  <c r="H33" i="26" s="1"/>
  <c r="H34" i="26" s="1"/>
  <c r="H35" i="26" s="1"/>
  <c r="H36" i="26" s="1"/>
  <c r="H37" i="26" s="1"/>
  <c r="H38" i="26" s="1"/>
  <c r="H39" i="26" s="1"/>
  <c r="H40" i="26" s="1"/>
  <c r="H41" i="26" s="1"/>
  <c r="H42" i="26" s="1"/>
  <c r="H43" i="26" s="1"/>
  <c r="H44" i="26" s="1"/>
  <c r="H45" i="26" s="1"/>
  <c r="H46" i="26" s="1"/>
  <c r="H3" i="25"/>
  <c r="H4" i="25" s="1"/>
  <c r="H5" i="25" s="1"/>
  <c r="H6" i="25" s="1"/>
  <c r="H7" i="25" s="1"/>
  <c r="H8" i="25" s="1"/>
  <c r="H9" i="25" s="1"/>
  <c r="H10" i="25" s="1"/>
  <c r="H11" i="25" s="1"/>
  <c r="H12" i="25" s="1"/>
  <c r="H13" i="25" s="1"/>
  <c r="H14" i="25" s="1"/>
  <c r="H15" i="25" s="1"/>
  <c r="H16" i="25" s="1"/>
  <c r="H17" i="25" s="1"/>
  <c r="H18" i="25" s="1"/>
  <c r="H19" i="25" s="1"/>
  <c r="H20" i="25" s="1"/>
  <c r="H21" i="25" s="1"/>
  <c r="H22" i="25" s="1"/>
  <c r="H23" i="25" s="1"/>
  <c r="H24" i="25" s="1"/>
  <c r="H3" i="24"/>
  <c r="H4" i="24" s="1"/>
  <c r="H5" i="24" s="1"/>
  <c r="H6" i="24" s="1"/>
  <c r="H7" i="24" s="1"/>
  <c r="H8" i="24" s="1"/>
  <c r="H9" i="24" s="1"/>
  <c r="H10" i="24" s="1"/>
  <c r="H11" i="24" s="1"/>
  <c r="H12" i="24" s="1"/>
  <c r="H13" i="24" s="1"/>
  <c r="H14" i="24" s="1"/>
  <c r="H15" i="24" s="1"/>
  <c r="H16" i="24" s="1"/>
  <c r="H17" i="24" s="1"/>
  <c r="H18" i="24" s="1"/>
  <c r="H19" i="24" s="1"/>
  <c r="H20" i="24" s="1"/>
  <c r="H21" i="24" s="1"/>
  <c r="H22" i="24" s="1"/>
  <c r="H23" i="24" s="1"/>
  <c r="H24" i="24" s="1"/>
  <c r="H3" i="23"/>
  <c r="H4" i="23" s="1"/>
  <c r="H5" i="23" s="1"/>
  <c r="H6" i="23" s="1"/>
  <c r="H7" i="23" s="1"/>
  <c r="H8" i="23" s="1"/>
  <c r="H9" i="23" s="1"/>
  <c r="H10" i="23" s="1"/>
  <c r="H11" i="23" s="1"/>
  <c r="H12" i="23" s="1"/>
  <c r="H13" i="23" s="1"/>
  <c r="H14" i="23" s="1"/>
  <c r="H15" i="23" s="1"/>
  <c r="H16" i="23" s="1"/>
  <c r="H17" i="23" s="1"/>
  <c r="H18" i="23" s="1"/>
  <c r="H19" i="23" s="1"/>
  <c r="H20" i="23" s="1"/>
  <c r="H21" i="23" s="1"/>
  <c r="H22" i="23" s="1"/>
  <c r="H23" i="23" s="1"/>
  <c r="H24" i="23" s="1"/>
  <c r="H3" i="22"/>
  <c r="H4" i="22" s="1"/>
  <c r="H5" i="22" s="1"/>
  <c r="H6" i="22" s="1"/>
  <c r="H7" i="22" s="1"/>
  <c r="H8" i="22" s="1"/>
  <c r="H9" i="22" s="1"/>
  <c r="H10" i="22" s="1"/>
  <c r="H11" i="22" s="1"/>
  <c r="H12" i="22" s="1"/>
  <c r="H13" i="22" s="1"/>
  <c r="H14" i="22" s="1"/>
  <c r="H15" i="22" s="1"/>
  <c r="H16" i="22" s="1"/>
  <c r="H17" i="22" s="1"/>
  <c r="H18" i="22" s="1"/>
  <c r="H19" i="22" s="1"/>
  <c r="H20" i="22" s="1"/>
  <c r="H21" i="22" s="1"/>
  <c r="H22" i="22" s="1"/>
  <c r="H23" i="22" s="1"/>
  <c r="H24" i="22" s="1"/>
  <c r="H25" i="22" s="1"/>
  <c r="H26" i="22" s="1"/>
  <c r="H27" i="22" s="1"/>
  <c r="H28" i="22" s="1"/>
  <c r="H29" i="22" s="1"/>
  <c r="H30" i="22" s="1"/>
  <c r="H31" i="22" s="1"/>
  <c r="H3" i="21"/>
  <c r="H4" i="21" s="1"/>
  <c r="H5" i="21" s="1"/>
  <c r="H6" i="21" s="1"/>
  <c r="H7" i="21" s="1"/>
  <c r="H8" i="21" s="1"/>
  <c r="H9" i="21" s="1"/>
  <c r="H10" i="21" s="1"/>
  <c r="H11" i="21" s="1"/>
  <c r="H12" i="21" s="1"/>
  <c r="H13" i="21" s="1"/>
  <c r="H14" i="21" s="1"/>
  <c r="H15" i="21" s="1"/>
  <c r="H16" i="21" s="1"/>
  <c r="H17" i="21" s="1"/>
  <c r="H18" i="21" s="1"/>
  <c r="H19" i="21" s="1"/>
  <c r="H20" i="21" s="1"/>
  <c r="H21" i="21" s="1"/>
  <c r="H22" i="21" s="1"/>
  <c r="H23" i="21" s="1"/>
  <c r="H24" i="21" s="1"/>
  <c r="H25" i="21" s="1"/>
  <c r="H26" i="21" s="1"/>
  <c r="H27" i="21" s="1"/>
  <c r="H28" i="21" s="1"/>
  <c r="H29" i="21" s="1"/>
  <c r="H30" i="21" s="1"/>
  <c r="H31" i="21" s="1"/>
  <c r="H32" i="21" s="1"/>
  <c r="H33" i="21" s="1"/>
  <c r="H34" i="21" s="1"/>
  <c r="H35" i="21" s="1"/>
  <c r="H3" i="20"/>
  <c r="H4" i="20" s="1"/>
  <c r="H5" i="20" s="1"/>
  <c r="H6" i="20" s="1"/>
  <c r="H7" i="20" s="1"/>
  <c r="H8" i="20" s="1"/>
  <c r="H9" i="20" s="1"/>
  <c r="H10" i="20" s="1"/>
  <c r="H11" i="20" s="1"/>
  <c r="H12" i="20" s="1"/>
  <c r="H13" i="20" s="1"/>
  <c r="H14" i="20" s="1"/>
  <c r="H15" i="20" s="1"/>
  <c r="H16" i="20" s="1"/>
  <c r="H17" i="20" s="1"/>
  <c r="H18" i="20" s="1"/>
  <c r="H19" i="20" s="1"/>
  <c r="H20" i="20" s="1"/>
  <c r="H21" i="20" s="1"/>
  <c r="H22" i="20" s="1"/>
  <c r="H23" i="20" s="1"/>
  <c r="H24" i="20" s="1"/>
  <c r="H25" i="20" s="1"/>
  <c r="H26" i="20" s="1"/>
  <c r="H27" i="20" s="1"/>
  <c r="H28" i="20" s="1"/>
  <c r="H29" i="20" s="1"/>
  <c r="H30" i="20" s="1"/>
  <c r="H31" i="20" s="1"/>
  <c r="H32" i="20" s="1"/>
  <c r="H33" i="20" s="1"/>
  <c r="H3" i="19"/>
  <c r="H4" i="19" s="1"/>
  <c r="H5" i="19" s="1"/>
  <c r="H6" i="19" s="1"/>
  <c r="H7" i="19" s="1"/>
  <c r="H8" i="19" s="1"/>
  <c r="H9" i="19" s="1"/>
  <c r="H10" i="19" s="1"/>
  <c r="H11" i="19" s="1"/>
  <c r="H12" i="19" s="1"/>
  <c r="H13" i="19" s="1"/>
  <c r="H14" i="19" s="1"/>
  <c r="H15" i="19" s="1"/>
  <c r="H16" i="19" s="1"/>
  <c r="H17" i="19" s="1"/>
  <c r="H18" i="19" s="1"/>
  <c r="H19" i="19" s="1"/>
  <c r="H20" i="19" s="1"/>
  <c r="H21" i="19" s="1"/>
  <c r="H22" i="19" s="1"/>
  <c r="H23" i="19" s="1"/>
  <c r="H24" i="19" s="1"/>
  <c r="H25" i="19" s="1"/>
  <c r="H26" i="19" s="1"/>
  <c r="H27" i="19" s="1"/>
  <c r="H28" i="19" s="1"/>
  <c r="H29" i="19" s="1"/>
  <c r="H30" i="19" s="1"/>
  <c r="H3" i="18"/>
  <c r="H4" i="18" s="1"/>
  <c r="H5" i="18" s="1"/>
  <c r="H6" i="18" s="1"/>
  <c r="H7" i="18" s="1"/>
  <c r="H8" i="18" s="1"/>
  <c r="H9" i="18" s="1"/>
  <c r="H10" i="18" s="1"/>
  <c r="H11" i="18" s="1"/>
  <c r="H12" i="18" s="1"/>
  <c r="H13" i="18" s="1"/>
  <c r="H14" i="18" s="1"/>
  <c r="H15" i="18" s="1"/>
  <c r="H16" i="18" s="1"/>
  <c r="H17" i="18" s="1"/>
  <c r="H18" i="18" s="1"/>
  <c r="H19" i="18" s="1"/>
  <c r="H20" i="18" s="1"/>
  <c r="H21" i="18" s="1"/>
  <c r="H22" i="18" s="1"/>
  <c r="H23" i="18" s="1"/>
  <c r="H24" i="18" s="1"/>
  <c r="H25" i="18" s="1"/>
  <c r="H26" i="18" s="1"/>
  <c r="H27" i="18" s="1"/>
  <c r="H28" i="18" s="1"/>
  <c r="H29" i="18" s="1"/>
  <c r="H30" i="18" s="1"/>
  <c r="H31" i="18" s="1"/>
  <c r="H3" i="17"/>
  <c r="H4" i="17" s="1"/>
  <c r="H5" i="17" s="1"/>
  <c r="H6" i="17" s="1"/>
  <c r="H7" i="17" s="1"/>
  <c r="H8" i="17" s="1"/>
  <c r="H9" i="17" s="1"/>
  <c r="H10" i="17" s="1"/>
  <c r="H11" i="17" s="1"/>
  <c r="H12" i="17" s="1"/>
  <c r="H13" i="17" s="1"/>
  <c r="H14" i="17" s="1"/>
  <c r="H15" i="17" s="1"/>
  <c r="H16" i="17" s="1"/>
  <c r="H17" i="17" s="1"/>
  <c r="H18" i="17" s="1"/>
  <c r="H19" i="17" s="1"/>
  <c r="H20" i="17" s="1"/>
  <c r="H21" i="17" s="1"/>
  <c r="H22" i="17" s="1"/>
  <c r="H23" i="17" s="1"/>
  <c r="H24" i="17" s="1"/>
  <c r="H25" i="17" s="1"/>
  <c r="H26" i="17" s="1"/>
  <c r="H27" i="17" s="1"/>
  <c r="H28" i="17" s="1"/>
  <c r="H29" i="17" s="1"/>
  <c r="H3" i="16"/>
  <c r="H4" i="16" s="1"/>
  <c r="H5" i="16" s="1"/>
  <c r="H6" i="16" s="1"/>
  <c r="H7" i="16" s="1"/>
  <c r="H8" i="16" s="1"/>
  <c r="H9" i="16" s="1"/>
  <c r="H10" i="16" s="1"/>
  <c r="H11" i="16" s="1"/>
  <c r="H12" i="16" s="1"/>
  <c r="H13" i="16" s="1"/>
  <c r="H14" i="16" s="1"/>
  <c r="H15" i="16" s="1"/>
  <c r="H16" i="16" s="1"/>
  <c r="H17" i="16" s="1"/>
  <c r="H18" i="16" s="1"/>
  <c r="H19" i="16" s="1"/>
  <c r="H20" i="16" s="1"/>
  <c r="H21" i="16" s="1"/>
  <c r="H22" i="16" s="1"/>
  <c r="H23" i="16" s="1"/>
  <c r="H24" i="16" s="1"/>
  <c r="H25" i="16" s="1"/>
  <c r="H26" i="16" s="1"/>
  <c r="H27" i="16" s="1"/>
  <c r="H28" i="16" s="1"/>
  <c r="H29" i="16" s="1"/>
  <c r="H30" i="16" s="1"/>
  <c r="H31" i="16" s="1"/>
  <c r="H32" i="16" s="1"/>
  <c r="H33" i="16" s="1"/>
  <c r="H34" i="16" s="1"/>
  <c r="H35" i="16" s="1"/>
  <c r="H36" i="16" s="1"/>
  <c r="H37" i="16" s="1"/>
  <c r="H38" i="16" s="1"/>
  <c r="H39" i="16" s="1"/>
  <c r="H40" i="16" s="1"/>
  <c r="H41" i="16" s="1"/>
  <c r="H42" i="16" s="1"/>
  <c r="H3" i="15"/>
  <c r="H4" i="15" s="1"/>
  <c r="H5" i="15" s="1"/>
  <c r="H6" i="15" s="1"/>
  <c r="H7" i="15" s="1"/>
  <c r="H8" i="15" s="1"/>
  <c r="H9" i="15" s="1"/>
  <c r="H10" i="15" s="1"/>
  <c r="H11" i="15" s="1"/>
  <c r="H12" i="15" s="1"/>
  <c r="H13" i="15" s="1"/>
  <c r="H14" i="15" s="1"/>
  <c r="H15" i="15" s="1"/>
  <c r="H16" i="15" s="1"/>
  <c r="H17" i="15" s="1"/>
  <c r="H18" i="15" s="1"/>
  <c r="H19" i="15" s="1"/>
  <c r="H20" i="15" s="1"/>
  <c r="H21" i="15" s="1"/>
  <c r="H22" i="15" s="1"/>
  <c r="H23" i="15" s="1"/>
  <c r="H3" i="14"/>
  <c r="H4" i="14" s="1"/>
  <c r="H5" i="14" s="1"/>
  <c r="H6" i="14" s="1"/>
  <c r="H7" i="14" s="1"/>
  <c r="H8" i="14" s="1"/>
  <c r="H9" i="14" s="1"/>
  <c r="H10" i="14" s="1"/>
  <c r="H11" i="14" s="1"/>
  <c r="H12" i="14" s="1"/>
  <c r="H13" i="14" s="1"/>
  <c r="H14" i="14" s="1"/>
  <c r="H15" i="14" s="1"/>
  <c r="H16" i="14" s="1"/>
  <c r="H17" i="14" s="1"/>
  <c r="H18" i="14" s="1"/>
  <c r="H19" i="14" s="1"/>
  <c r="H20" i="14" s="1"/>
  <c r="H21" i="14" s="1"/>
  <c r="H22" i="14" s="1"/>
  <c r="H23" i="14" s="1"/>
  <c r="H24" i="14" s="1"/>
  <c r="H25" i="14" s="1"/>
  <c r="H26" i="14" s="1"/>
  <c r="H27" i="14" s="1"/>
  <c r="H28" i="14" s="1"/>
  <c r="H29" i="14" s="1"/>
  <c r="H30" i="14" s="1"/>
  <c r="H31" i="14" s="1"/>
  <c r="H32" i="14" s="1"/>
  <c r="H33" i="14" s="1"/>
  <c r="H34" i="14" s="1"/>
  <c r="H35" i="14" s="1"/>
  <c r="H36" i="14" s="1"/>
  <c r="H37" i="14" s="1"/>
  <c r="H38" i="14" s="1"/>
  <c r="H39" i="14" s="1"/>
  <c r="H40" i="14" s="1"/>
  <c r="H41" i="14" s="1"/>
  <c r="H42" i="14" s="1"/>
  <c r="H43" i="14" s="1"/>
  <c r="H44" i="14" s="1"/>
  <c r="H45" i="14" s="1"/>
  <c r="H46" i="14" s="1"/>
  <c r="H47" i="14" s="1"/>
  <c r="H48" i="14" s="1"/>
  <c r="H3" i="13"/>
  <c r="H4" i="13" s="1"/>
  <c r="H5" i="13" s="1"/>
  <c r="H6" i="13" s="1"/>
  <c r="H7" i="13" s="1"/>
  <c r="H8" i="13" s="1"/>
  <c r="H9" i="13" s="1"/>
  <c r="H10" i="13" s="1"/>
  <c r="H11" i="13" s="1"/>
  <c r="H12" i="13" s="1"/>
  <c r="H13" i="13" s="1"/>
  <c r="H14" i="13" s="1"/>
  <c r="H15" i="13" s="1"/>
  <c r="H16" i="13" s="1"/>
  <c r="H17" i="13" s="1"/>
  <c r="H18" i="13" s="1"/>
  <c r="H19" i="13" s="1"/>
  <c r="H20" i="13" s="1"/>
  <c r="H21" i="13" s="1"/>
  <c r="H22" i="13" s="1"/>
  <c r="H23" i="13" s="1"/>
  <c r="H24" i="13" s="1"/>
  <c r="H25" i="13" s="1"/>
  <c r="H26" i="13" s="1"/>
  <c r="H3" i="12"/>
  <c r="H4" i="12" s="1"/>
  <c r="H5" i="12" s="1"/>
  <c r="H6" i="12" s="1"/>
  <c r="H7" i="12" s="1"/>
  <c r="H8" i="12" s="1"/>
  <c r="H9" i="12" s="1"/>
  <c r="H10" i="12" s="1"/>
  <c r="H11" i="12" s="1"/>
  <c r="H12" i="12" s="1"/>
  <c r="H13" i="12" s="1"/>
  <c r="H14" i="12" s="1"/>
  <c r="H15" i="12" s="1"/>
  <c r="H16" i="12" s="1"/>
  <c r="H17" i="12" s="1"/>
  <c r="H18" i="12" s="1"/>
  <c r="H19" i="12" s="1"/>
  <c r="H20" i="12" s="1"/>
  <c r="H21" i="12" s="1"/>
  <c r="H22" i="12" s="1"/>
  <c r="H23" i="12" s="1"/>
  <c r="H24" i="12" s="1"/>
  <c r="H25" i="12" s="1"/>
  <c r="H26" i="12" s="1"/>
  <c r="H27" i="12" s="1"/>
  <c r="H28" i="12" s="1"/>
  <c r="H29" i="12" s="1"/>
  <c r="H30" i="12" s="1"/>
  <c r="H31" i="12" s="1"/>
  <c r="H32" i="12" s="1"/>
  <c r="H33" i="12" s="1"/>
  <c r="H34" i="12" s="1"/>
  <c r="H35" i="12" s="1"/>
  <c r="H36" i="12" s="1"/>
  <c r="H37" i="12" s="1"/>
  <c r="H38" i="12" s="1"/>
  <c r="H39" i="12" s="1"/>
  <c r="H40" i="12" s="1"/>
  <c r="H41" i="12" s="1"/>
  <c r="H42" i="12" s="1"/>
  <c r="H43" i="12" s="1"/>
  <c r="H3" i="11"/>
  <c r="H4" i="11" s="1"/>
  <c r="H5" i="11" s="1"/>
  <c r="H6" i="11" s="1"/>
  <c r="H7" i="11" s="1"/>
  <c r="H8" i="11" s="1"/>
  <c r="H9" i="11" s="1"/>
  <c r="H10" i="11" s="1"/>
  <c r="H11" i="11" s="1"/>
  <c r="H12" i="11" s="1"/>
  <c r="H13" i="11" s="1"/>
  <c r="H14" i="11" s="1"/>
  <c r="H15" i="11" s="1"/>
  <c r="H16" i="11" s="1"/>
  <c r="H17" i="11" s="1"/>
  <c r="H18" i="11" s="1"/>
  <c r="H19" i="11" s="1"/>
  <c r="H20" i="11" s="1"/>
  <c r="H21" i="11" s="1"/>
  <c r="H22" i="11" s="1"/>
  <c r="H23" i="11" s="1"/>
  <c r="H24" i="11" s="1"/>
  <c r="H25" i="11" s="1"/>
  <c r="H26" i="11" s="1"/>
  <c r="H27" i="11" s="1"/>
  <c r="H28" i="11" s="1"/>
  <c r="H29" i="11" s="1"/>
  <c r="H30" i="11" s="1"/>
  <c r="H31" i="11" s="1"/>
  <c r="H32" i="11" s="1"/>
  <c r="H33" i="11" s="1"/>
  <c r="H34" i="11" s="1"/>
  <c r="H35" i="11" s="1"/>
  <c r="H3" i="10"/>
  <c r="H4" i="10" s="1"/>
  <c r="H5" i="10" s="1"/>
  <c r="H6" i="10" s="1"/>
  <c r="H7" i="10" s="1"/>
  <c r="H8" i="10" s="1"/>
  <c r="H9" i="10" s="1"/>
  <c r="H10" i="10" s="1"/>
  <c r="H11" i="10" s="1"/>
  <c r="H12" i="10" s="1"/>
  <c r="H13" i="10" s="1"/>
  <c r="H14" i="10" s="1"/>
  <c r="H15" i="10" s="1"/>
  <c r="H16" i="10" s="1"/>
  <c r="H17" i="10" s="1"/>
  <c r="H18" i="10" s="1"/>
  <c r="H19" i="10" s="1"/>
  <c r="H20" i="10" s="1"/>
  <c r="H21" i="10" s="1"/>
  <c r="H22" i="10" s="1"/>
  <c r="H23" i="10" s="1"/>
  <c r="H24" i="10" s="1"/>
  <c r="H25" i="10" s="1"/>
  <c r="H26" i="10" s="1"/>
  <c r="H3" i="9"/>
  <c r="H4" i="9" s="1"/>
  <c r="H5" i="9" s="1"/>
  <c r="H6" i="9" s="1"/>
  <c r="H7" i="9" s="1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H32" i="9" s="1"/>
  <c r="H33" i="9" s="1"/>
  <c r="H34" i="9" s="1"/>
  <c r="H35" i="9" s="1"/>
  <c r="H36" i="9" s="1"/>
  <c r="H37" i="9" s="1"/>
  <c r="H38" i="9" s="1"/>
  <c r="H39" i="9" s="1"/>
  <c r="H40" i="9" s="1"/>
  <c r="H41" i="9" s="1"/>
  <c r="H42" i="9" s="1"/>
  <c r="H43" i="9" s="1"/>
  <c r="H44" i="9" s="1"/>
  <c r="H45" i="9" s="1"/>
  <c r="H46" i="9" s="1"/>
  <c r="H47" i="9" s="1"/>
  <c r="H48" i="9" s="1"/>
  <c r="H49" i="9" s="1"/>
  <c r="H50" i="9" s="1"/>
  <c r="H51" i="9" s="1"/>
  <c r="H52" i="9" s="1"/>
  <c r="H3" i="8"/>
  <c r="H4" i="8" s="1"/>
  <c r="H5" i="8" s="1"/>
  <c r="H6" i="8" s="1"/>
  <c r="H7" i="8" s="1"/>
  <c r="H8" i="8" s="1"/>
  <c r="H9" i="8" s="1"/>
  <c r="H10" i="8" s="1"/>
  <c r="H11" i="8" s="1"/>
  <c r="H12" i="8" s="1"/>
  <c r="H13" i="8" s="1"/>
  <c r="H14" i="8" s="1"/>
  <c r="H15" i="8" s="1"/>
  <c r="H16" i="8" s="1"/>
  <c r="H17" i="8" s="1"/>
  <c r="H18" i="8" s="1"/>
  <c r="H19" i="8" s="1"/>
  <c r="H20" i="8" s="1"/>
  <c r="H21" i="8" s="1"/>
  <c r="H22" i="8" s="1"/>
  <c r="H23" i="8" s="1"/>
  <c r="H24" i="8" s="1"/>
  <c r="H25" i="8" s="1"/>
  <c r="H26" i="8" s="1"/>
  <c r="H27" i="8" s="1"/>
  <c r="H28" i="8" s="1"/>
  <c r="H29" i="8" s="1"/>
  <c r="H30" i="8" s="1"/>
  <c r="H31" i="8" s="1"/>
  <c r="H32" i="8" s="1"/>
  <c r="H33" i="8" s="1"/>
  <c r="H34" i="8" s="1"/>
  <c r="H35" i="8" s="1"/>
  <c r="H36" i="8" s="1"/>
  <c r="H37" i="8" s="1"/>
  <c r="H38" i="8" s="1"/>
  <c r="H39" i="8" s="1"/>
  <c r="H40" i="8" s="1"/>
  <c r="H41" i="8" s="1"/>
  <c r="H42" i="8" s="1"/>
  <c r="H43" i="8" s="1"/>
  <c r="H44" i="8" s="1"/>
  <c r="H45" i="8" s="1"/>
  <c r="H46" i="8" s="1"/>
  <c r="H47" i="8" s="1"/>
  <c r="H48" i="8" s="1"/>
  <c r="H49" i="8" s="1"/>
  <c r="H3" i="7"/>
  <c r="H4" i="7" s="1"/>
  <c r="H5" i="7" s="1"/>
  <c r="H6" i="7" s="1"/>
  <c r="H7" i="7" s="1"/>
  <c r="H8" i="7" s="1"/>
  <c r="H9" i="7" s="1"/>
  <c r="H10" i="7" s="1"/>
  <c r="H11" i="7" s="1"/>
  <c r="H12" i="7" s="1"/>
  <c r="H13" i="7" s="1"/>
  <c r="H14" i="7" s="1"/>
  <c r="H15" i="7" s="1"/>
  <c r="H16" i="7" s="1"/>
  <c r="H17" i="7" s="1"/>
  <c r="H18" i="7" s="1"/>
  <c r="H19" i="7" s="1"/>
  <c r="H20" i="7" s="1"/>
  <c r="H21" i="7" s="1"/>
  <c r="H22" i="7" s="1"/>
  <c r="H23" i="7" s="1"/>
  <c r="H24" i="7" s="1"/>
  <c r="H25" i="7" s="1"/>
  <c r="H3" i="6"/>
  <c r="H4" i="6" s="1"/>
  <c r="H5" i="6" s="1"/>
  <c r="H6" i="6" s="1"/>
  <c r="H7" i="6" s="1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3" i="5"/>
  <c r="H4" i="5" s="1"/>
  <c r="H5" i="5" s="1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H35" i="5" s="1"/>
  <c r="H36" i="5" s="1"/>
  <c r="H37" i="5" s="1"/>
  <c r="H38" i="5" s="1"/>
  <c r="H39" i="5" s="1"/>
  <c r="H40" i="5" s="1"/>
  <c r="H41" i="5" s="1"/>
  <c r="H42" i="5" s="1"/>
  <c r="H43" i="5" s="1"/>
  <c r="H44" i="5" s="1"/>
  <c r="H45" i="5" s="1"/>
  <c r="H46" i="5" s="1"/>
  <c r="H47" i="5" s="1"/>
  <c r="H48" i="5" s="1"/>
  <c r="H49" i="5" s="1"/>
  <c r="H50" i="5" s="1"/>
  <c r="H51" i="5" s="1"/>
  <c r="H52" i="5" s="1"/>
  <c r="H53" i="5" s="1"/>
  <c r="H54" i="5" s="1"/>
  <c r="H55" i="5" s="1"/>
  <c r="H56" i="5" s="1"/>
  <c r="H57" i="5" s="1"/>
  <c r="H58" i="5" s="1"/>
  <c r="H59" i="5" s="1"/>
  <c r="H60" i="5" s="1"/>
  <c r="H61" i="5" s="1"/>
  <c r="H62" i="5" s="1"/>
  <c r="H63" i="5" s="1"/>
  <c r="H64" i="5" s="1"/>
  <c r="H65" i="5" s="1"/>
  <c r="H66" i="5" s="1"/>
  <c r="H67" i="5" s="1"/>
  <c r="H68" i="5" s="1"/>
  <c r="H69" i="5" s="1"/>
  <c r="H70" i="5" s="1"/>
  <c r="H71" i="5" s="1"/>
  <c r="H72" i="5" s="1"/>
  <c r="H73" i="5" s="1"/>
  <c r="H74" i="5" s="1"/>
  <c r="H75" i="5" s="1"/>
  <c r="H76" i="5" s="1"/>
  <c r="H77" i="5" s="1"/>
  <c r="H78" i="5" s="1"/>
  <c r="H79" i="5" s="1"/>
  <c r="H80" i="5" s="1"/>
  <c r="H81" i="5" s="1"/>
  <c r="H82" i="5" s="1"/>
  <c r="H83" i="5" s="1"/>
  <c r="H84" i="5" s="1"/>
  <c r="H85" i="5" s="1"/>
  <c r="H86" i="5" s="1"/>
  <c r="H87" i="5" s="1"/>
  <c r="H88" i="5" s="1"/>
  <c r="H89" i="5" s="1"/>
  <c r="H90" i="5" s="1"/>
  <c r="H91" i="5" s="1"/>
  <c r="H92" i="5" s="1"/>
  <c r="H93" i="5" s="1"/>
  <c r="H94" i="5" s="1"/>
  <c r="H95" i="5" s="1"/>
  <c r="H96" i="5" s="1"/>
  <c r="H97" i="5" s="1"/>
  <c r="H98" i="5" s="1"/>
  <c r="H99" i="5" s="1"/>
  <c r="H100" i="5" s="1"/>
  <c r="H101" i="5" s="1"/>
  <c r="H102" i="5" s="1"/>
  <c r="H103" i="5" s="1"/>
  <c r="H104" i="5" s="1"/>
  <c r="H105" i="5" s="1"/>
  <c r="H3" i="4"/>
  <c r="H4" i="4" s="1"/>
  <c r="H5" i="4" s="1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3" i="2"/>
  <c r="H4" i="2" s="1"/>
  <c r="H5" i="2" s="1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AH43" i="1"/>
  <c r="AJ43" i="1" s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H42" i="1"/>
  <c r="AJ42" i="1" s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H41" i="1"/>
  <c r="AJ41" i="1" s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H40" i="1"/>
  <c r="AJ40" i="1" s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H39" i="1"/>
  <c r="AJ39" i="1" s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H38" i="1"/>
  <c r="AJ38" i="1" s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H37" i="1"/>
  <c r="AJ37" i="1" s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H36" i="1"/>
  <c r="AJ36" i="1" s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H35" i="1"/>
  <c r="AJ35" i="1" s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H34" i="1"/>
  <c r="AJ34" i="1" s="1"/>
  <c r="AH33" i="1"/>
  <c r="AJ33" i="1" s="1"/>
  <c r="AH32" i="1"/>
  <c r="AJ32" i="1" s="1"/>
  <c r="AH31" i="1"/>
  <c r="AJ31" i="1" s="1"/>
  <c r="AH30" i="1"/>
  <c r="AJ30" i="1" s="1"/>
  <c r="AH29" i="1"/>
  <c r="AJ29" i="1" s="1"/>
  <c r="AH28" i="1"/>
  <c r="AJ28" i="1" s="1"/>
  <c r="AH27" i="1"/>
  <c r="AJ27" i="1" s="1"/>
  <c r="AH26" i="1"/>
  <c r="AJ26" i="1" s="1"/>
  <c r="AH25" i="1"/>
  <c r="AJ25" i="1" s="1"/>
  <c r="AH24" i="1"/>
  <c r="AJ24" i="1" s="1"/>
  <c r="B22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J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AE22" i="1" l="1"/>
  <c r="AH22" i="1" s="1"/>
  <c r="AJ22" i="1" s="1"/>
  <c r="AE23" i="1"/>
  <c r="AE20" i="1"/>
  <c r="AE21" i="1"/>
  <c r="AE14" i="1"/>
  <c r="AH14" i="1" s="1"/>
  <c r="AJ14" i="1" s="1"/>
  <c r="AE13" i="1"/>
  <c r="AH13" i="1" s="1"/>
  <c r="AJ13" i="1" s="1"/>
  <c r="AE7" i="1"/>
  <c r="AH7" i="1" s="1"/>
  <c r="AJ7" i="1" s="1"/>
  <c r="AE19" i="1"/>
  <c r="AH19" i="1" s="1"/>
  <c r="AJ19" i="1" s="1"/>
  <c r="AE18" i="1"/>
  <c r="AE17" i="1"/>
  <c r="AH17" i="1" s="1"/>
  <c r="AJ17" i="1" s="1"/>
  <c r="AE16" i="1"/>
  <c r="AH16" i="1" s="1"/>
  <c r="AJ16" i="1" s="1"/>
  <c r="AE15" i="1"/>
  <c r="AH15" i="1" s="1"/>
  <c r="AJ15" i="1" s="1"/>
  <c r="AE12" i="1"/>
  <c r="AH12" i="1" s="1"/>
  <c r="AJ12" i="1" s="1"/>
  <c r="AE11" i="1"/>
  <c r="AH11" i="1" s="1"/>
  <c r="AJ11" i="1" s="1"/>
  <c r="AE8" i="1"/>
  <c r="AH8" i="1" s="1"/>
  <c r="AJ8" i="1" s="1"/>
  <c r="AE6" i="1"/>
  <c r="AH6" i="1" s="1"/>
  <c r="AJ6" i="1" s="1"/>
  <c r="AE5" i="1"/>
  <c r="AH5" i="1" s="1"/>
  <c r="AJ5" i="1" s="1"/>
  <c r="AE4" i="1"/>
  <c r="AH4" i="1" s="1"/>
  <c r="AJ4" i="1" s="1"/>
  <c r="AE3" i="1"/>
  <c r="AH3" i="1" s="1"/>
  <c r="AJ3" i="1" s="1"/>
  <c r="AE10" i="1"/>
  <c r="AH10" i="1" s="1"/>
  <c r="AJ10" i="1" s="1"/>
  <c r="AE9" i="1"/>
  <c r="AH9" i="1" s="1"/>
  <c r="AJ9" i="1" s="1"/>
  <c r="AJ4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G7" authorId="0" shapeId="0" xr:uid="{00000000-0006-0000-0000-00000E000000}">
      <text>
        <r>
          <rPr>
            <sz val="10"/>
            <rFont val="FreeSans"/>
            <family val="2"/>
          </rPr>
          <t>رصيد وارد غير معروف - الكود ده مش موجود في تقرير الجرد الأصلي. من فضلك أدخل الكمية الحقيقية الواردة</t>
        </r>
      </text>
    </comment>
    <comment ref="AG8" authorId="0" shapeId="0" xr:uid="{00000000-0006-0000-0000-000007000000}">
      <text>
        <r>
          <rPr>
            <sz val="10"/>
            <rFont val="FreeSans"/>
            <family val="2"/>
          </rPr>
          <t>رصيد وارد غير معروف - الكود ده مش موجود في تقرير الجرد الأصلي. من فضلك أدخل الكمية الحقيقية الواردة</t>
        </r>
      </text>
    </comment>
    <comment ref="AG9" authorId="0" shapeId="0" xr:uid="{00000000-0006-0000-0000-000012000000}">
      <text>
        <r>
          <rPr>
            <sz val="10"/>
            <rFont val="FreeSans"/>
            <family val="2"/>
          </rPr>
          <t>رصيد وارد غير معروف - الكود ده مش موجود في تقرير الجرد الأصلي. من فضلك أدخل الكمية الحقيقية الواردة</t>
        </r>
      </text>
    </comment>
    <comment ref="AG10" authorId="0" shapeId="0" xr:uid="{00000000-0006-0000-0000-000006000000}">
      <text>
        <r>
          <rPr>
            <sz val="10"/>
            <rFont val="FreeSans"/>
            <family val="2"/>
          </rPr>
          <t>رصيد وارد غير معروف - الكود ده مش موجود في تقرير الجرد الأصلي. من فضلك أدخل الكمية الحقيقية الواردة</t>
        </r>
      </text>
    </comment>
    <comment ref="AG11" authorId="0" shapeId="0" xr:uid="{00000000-0006-0000-0000-000008000000}">
      <text>
        <r>
          <rPr>
            <sz val="10"/>
            <rFont val="FreeSans"/>
            <family val="2"/>
          </rPr>
          <t>رصيد وارد غير معروف - الكود ده مش موجود في تقرير الجرد الأصلي. من فضلك أدخل الكمية الحقيقية الواردة</t>
        </r>
      </text>
    </comment>
    <comment ref="AG12" authorId="0" shapeId="0" xr:uid="{00000000-0006-0000-0000-000009000000}">
      <text>
        <r>
          <rPr>
            <sz val="10"/>
            <rFont val="FreeSans"/>
            <family val="2"/>
          </rPr>
          <t>رصيد وارد غير معروف - الكود ده مش موجود في تقرير الجرد الأصلي. من فضلك أدخل الكمية الحقيقية الواردة</t>
        </r>
      </text>
    </comment>
    <comment ref="AG13" authorId="0" shapeId="0" xr:uid="{00000000-0006-0000-0000-00000F000000}">
      <text>
        <r>
          <rPr>
            <sz val="10"/>
            <rFont val="FreeSans"/>
            <family val="2"/>
          </rPr>
          <t>رصيد وارد غير معروف - الكود ده مش موجود في تقرير الجرد الأصلي. من فضلك أدخل الكمية الحقيقية الواردة</t>
        </r>
      </text>
    </comment>
    <comment ref="AG14" authorId="0" shapeId="0" xr:uid="{00000000-0006-0000-0000-000010000000}">
      <text>
        <r>
          <rPr>
            <sz val="10"/>
            <rFont val="FreeSans"/>
            <family val="2"/>
          </rPr>
          <t>رصيد وارد غير معروف - الكود ده مش موجود في تقرير الجرد الأصلي. من فضلك أدخل الكمية الحقيقية الواردة</t>
        </r>
      </text>
    </comment>
    <comment ref="AG15" authorId="0" shapeId="0" xr:uid="{00000000-0006-0000-0000-000011000000}">
      <text>
        <r>
          <rPr>
            <sz val="10"/>
            <rFont val="FreeSans"/>
            <family val="2"/>
          </rPr>
          <t>رصيد وارد غير معروف - الكود ده مش موجود في تقرير الجرد الأصلي. من فضلك أدخل الكمية الحقيقية الواردة</t>
        </r>
      </text>
    </comment>
    <comment ref="AG16" authorId="0" shapeId="0" xr:uid="{00000000-0006-0000-0000-000013000000}">
      <text>
        <r>
          <rPr>
            <sz val="10"/>
            <rFont val="FreeSans"/>
            <family val="2"/>
          </rPr>
          <t>رصيد وارد غير معروف - الكود ده مش موجود في تقرير الجرد الأصلي. من فضلك أدخل الكمية الحقيقية الواردة</t>
        </r>
      </text>
    </comment>
    <comment ref="AG17" authorId="0" shapeId="0" xr:uid="{00000000-0006-0000-0000-000017000000}">
      <text>
        <r>
          <rPr>
            <sz val="10"/>
            <rFont val="FreeSans"/>
            <family val="2"/>
          </rPr>
          <t>رصيد وارد غير معروف - الكود ده مش موجود في تقرير الجرد الأصلي. من فضلك أدخل الكمية الحقيقية الواردة</t>
        </r>
      </text>
    </comment>
    <comment ref="AG18" authorId="0" shapeId="0" xr:uid="{00000000-0006-0000-0000-00001B000000}">
      <text>
        <r>
          <rPr>
            <sz val="10"/>
            <rFont val="FreeSans"/>
            <family val="2"/>
          </rPr>
          <t>رصيد وارد غير معروف - الكود ده مش موجود في تقرير الجرد الأصلي. من فضلك أدخل الكمية الحقيقية الواردة</t>
        </r>
      </text>
    </comment>
    <comment ref="AG19" authorId="0" shapeId="0" xr:uid="{00000000-0006-0000-0000-00001C000000}">
      <text>
        <r>
          <rPr>
            <sz val="10"/>
            <rFont val="FreeSans"/>
            <family val="2"/>
          </rPr>
          <t>رصيد وارد غير معروف - الكود ده مش موجود في تقرير الجرد الأصلي. من فضلك أدخل الكمية الحقيقية الواردة</t>
        </r>
      </text>
    </comment>
    <comment ref="AG22" authorId="0" shapeId="0" xr:uid="{00000000-0006-0000-0000-00001D000000}">
      <text>
        <r>
          <rPr>
            <sz val="10"/>
            <rFont val="FreeSans"/>
            <family val="2"/>
          </rPr>
          <t>رصيد وارد غير معروف - الكود ده مش موجود في تقرير الجرد الأصلي. من فضلك أدخل الكمية الحقيقية الواردة</t>
        </r>
      </text>
    </comment>
  </commentList>
</comments>
</file>

<file path=xl/sharedStrings.xml><?xml version="1.0" encoding="utf-8"?>
<sst xmlns="http://schemas.openxmlformats.org/spreadsheetml/2006/main" count="1248" uniqueCount="357">
  <si>
    <t>المخزن - كشف الأصناف وحركة البيع/المرتجع لكل عميل (تلقائي)</t>
  </si>
  <si>
    <t>الكود</t>
  </si>
  <si>
    <t>4K حموده</t>
  </si>
  <si>
    <t>مكتب القاضي</t>
  </si>
  <si>
    <t>الاتشو</t>
  </si>
  <si>
    <t>علاء بوم ارض النت</t>
  </si>
  <si>
    <t>كيمو ميت ابو خالد</t>
  </si>
  <si>
    <t>KAZO</t>
  </si>
  <si>
    <t>LAFY</t>
  </si>
  <si>
    <t>POINT زفتي (جديد)</t>
  </si>
  <si>
    <t>POINT سعد زغلول (قديم)</t>
  </si>
  <si>
    <t>POWER ارض النت</t>
  </si>
  <si>
    <t>POWER زفتي</t>
  </si>
  <si>
    <t>احمد المنوفي</t>
  </si>
  <si>
    <t>السفير</t>
  </si>
  <si>
    <t>العالمي</t>
  </si>
  <si>
    <t>باهي التركي</t>
  </si>
  <si>
    <t>توتي دماص</t>
  </si>
  <si>
    <t>رضا محمد</t>
  </si>
  <si>
    <t>زومبي العشري</t>
  </si>
  <si>
    <t>محمد عرابي</t>
  </si>
  <si>
    <t>عم جمال</t>
  </si>
  <si>
    <t>فاير سيليكت</t>
  </si>
  <si>
    <t>فرانكو</t>
  </si>
  <si>
    <t>كريم بكر</t>
  </si>
  <si>
    <t>بفرا</t>
  </si>
  <si>
    <t>محل كوم النور</t>
  </si>
  <si>
    <t>محمد النجار</t>
  </si>
  <si>
    <t>محمود عبدالرسول</t>
  </si>
  <si>
    <t>مول المصطفي</t>
  </si>
  <si>
    <t>مصانع</t>
  </si>
  <si>
    <t>صافي المباع (تلقائي)</t>
  </si>
  <si>
    <t>الصنف</t>
  </si>
  <si>
    <t>عدد الموديل (الرصيد الوارد)</t>
  </si>
  <si>
    <t>الباقي (تلقائي)</t>
  </si>
  <si>
    <t>سعر البيع</t>
  </si>
  <si>
    <t>قيمة بضاعة المخزن (تلقائي)</t>
  </si>
  <si>
    <t>B01</t>
  </si>
  <si>
    <t>شروال سمر ميلتون جوردن</t>
  </si>
  <si>
    <t>B02</t>
  </si>
  <si>
    <t>شروال وايد ليج بالنسياجا انتر لوك</t>
  </si>
  <si>
    <t>B03</t>
  </si>
  <si>
    <t>شروال سمر ميلتون اوفر سايز</t>
  </si>
  <si>
    <t>B04</t>
  </si>
  <si>
    <t>شروال باجي انتر لوك</t>
  </si>
  <si>
    <t>MB00</t>
  </si>
  <si>
    <t>بدي ابيض ساده كاردونيه</t>
  </si>
  <si>
    <t>MB01</t>
  </si>
  <si>
    <t>تيشرت كاردونيه ليائه (عصام صاصا)</t>
  </si>
  <si>
    <t>MB02</t>
  </si>
  <si>
    <t>تيشرت بالنسياجا</t>
  </si>
  <si>
    <t>MB013</t>
  </si>
  <si>
    <t>دبل سوسته يائه</t>
  </si>
  <si>
    <t>MB05</t>
  </si>
  <si>
    <t>تيشرت سبعه تريكو</t>
  </si>
  <si>
    <t>MB06</t>
  </si>
  <si>
    <t>تيشرت راوند رجلان تطريز SUB</t>
  </si>
  <si>
    <t>MB07</t>
  </si>
  <si>
    <t>تيشرت راوند رجلان تطريز جلد</t>
  </si>
  <si>
    <t>MB08</t>
  </si>
  <si>
    <t>تيشرت نيو كاردونيل يائه قصات</t>
  </si>
  <si>
    <t>B104</t>
  </si>
  <si>
    <t xml:space="preserve">شروال قصات انترلوك </t>
  </si>
  <si>
    <t>B102</t>
  </si>
  <si>
    <t xml:space="preserve">شروال اديداس </t>
  </si>
  <si>
    <t>B07</t>
  </si>
  <si>
    <t xml:space="preserve">شروال وايد ليج </t>
  </si>
  <si>
    <t>B06</t>
  </si>
  <si>
    <t xml:space="preserve">ترنج انترلوك NR </t>
  </si>
  <si>
    <t>MB010</t>
  </si>
  <si>
    <t xml:space="preserve">بولو ليفربول </t>
  </si>
  <si>
    <t>M081</t>
  </si>
  <si>
    <t>شورت ساده</t>
  </si>
  <si>
    <t>B019</t>
  </si>
  <si>
    <t xml:space="preserve">شورت تطريز جلد </t>
  </si>
  <si>
    <t>MB09</t>
  </si>
  <si>
    <t>تيشرت انترلوك لياقه</t>
  </si>
  <si>
    <t>B101</t>
  </si>
  <si>
    <t>شروال شريط اوفر سايز</t>
  </si>
  <si>
    <t>B1000</t>
  </si>
  <si>
    <t>شروال انترلوك وايد ليج</t>
  </si>
  <si>
    <t>B1003</t>
  </si>
  <si>
    <t xml:space="preserve">شرروال اولد ماني </t>
  </si>
  <si>
    <t>B1002</t>
  </si>
  <si>
    <t xml:space="preserve">شروال اولد مان </t>
  </si>
  <si>
    <t>B103</t>
  </si>
  <si>
    <t>B1004</t>
  </si>
  <si>
    <t xml:space="preserve">شروال اولد ماني </t>
  </si>
  <si>
    <t>Y124</t>
  </si>
  <si>
    <t>تيشرت لي</t>
  </si>
  <si>
    <t>Y122</t>
  </si>
  <si>
    <t>414</t>
  </si>
  <si>
    <t xml:space="preserve">قميص بوكيت </t>
  </si>
  <si>
    <t>B110</t>
  </si>
  <si>
    <t>37</t>
  </si>
  <si>
    <t xml:space="preserve">شروال </t>
  </si>
  <si>
    <t>27</t>
  </si>
  <si>
    <t xml:space="preserve">شورت </t>
  </si>
  <si>
    <t>لافي</t>
  </si>
  <si>
    <t xml:space="preserve">كلاسيك سليم </t>
  </si>
  <si>
    <t>B111</t>
  </si>
  <si>
    <t xml:space="preserve">شروال نايك تطريز استك </t>
  </si>
  <si>
    <t>B112</t>
  </si>
  <si>
    <t xml:space="preserve">شروال شريط بالنسياجا </t>
  </si>
  <si>
    <t>B115</t>
  </si>
  <si>
    <t xml:space="preserve">شروال شريط بدج </t>
  </si>
  <si>
    <t>MB011</t>
  </si>
  <si>
    <t xml:space="preserve">تيشرت كاردونيه سبعه تريكو </t>
  </si>
  <si>
    <t>B05</t>
  </si>
  <si>
    <t xml:space="preserve">شروال وايد ليج ساده تطريز </t>
  </si>
  <si>
    <t>MB 00</t>
  </si>
  <si>
    <t xml:space="preserve">بدي كاردونيه </t>
  </si>
  <si>
    <t>1003</t>
  </si>
  <si>
    <t>1004</t>
  </si>
  <si>
    <t>B012</t>
  </si>
  <si>
    <t xml:space="preserve">تيشرت خام مستورد بياءه مقطع </t>
  </si>
  <si>
    <t>B0100</t>
  </si>
  <si>
    <t xml:space="preserve">شروال وايد ليج تطريز </t>
  </si>
  <si>
    <t>B105</t>
  </si>
  <si>
    <t xml:space="preserve">شرزال نايك ساده </t>
  </si>
  <si>
    <t>B082</t>
  </si>
  <si>
    <t xml:space="preserve">تيشرت بوليفار نصين </t>
  </si>
  <si>
    <t>B010</t>
  </si>
  <si>
    <t>إجمالي قيمة بضاعة المخزن المتبقية (للأصناف المعروف رصيدها فقط)</t>
  </si>
  <si>
    <t>حساب العميل: 4K حموده</t>
  </si>
  <si>
    <t>التاريخ</t>
  </si>
  <si>
    <t>تفاصيل</t>
  </si>
  <si>
    <t>عدد</t>
  </si>
  <si>
    <t>الفئه</t>
  </si>
  <si>
    <t>مدين</t>
  </si>
  <si>
    <t>دائن</t>
  </si>
  <si>
    <t>الرصيد (تلقائي)</t>
  </si>
  <si>
    <t>13/8/2026</t>
  </si>
  <si>
    <t xml:space="preserve">شروال وايد ليج اديداس </t>
  </si>
  <si>
    <t xml:space="preserve">شروال اولد ماني قصات </t>
  </si>
  <si>
    <t>15/8/2026</t>
  </si>
  <si>
    <t xml:space="preserve">دفعه </t>
  </si>
  <si>
    <t>حساب العميل: مكتب القاضي</t>
  </si>
  <si>
    <t>17/4/2026</t>
  </si>
  <si>
    <t xml:space="preserve">شروال سمر ميلتون جوردن </t>
  </si>
  <si>
    <t xml:space="preserve">شروال سمر ميلتون اوفر سايز </t>
  </si>
  <si>
    <t xml:space="preserve">شروال وايد ليج بالنسياجا انتر لوك </t>
  </si>
  <si>
    <t>24/4/2026</t>
  </si>
  <si>
    <t>شروال باجي انترلوك</t>
  </si>
  <si>
    <t>30/4/2026</t>
  </si>
  <si>
    <t>18/5/2026</t>
  </si>
  <si>
    <t>مرتجع (تيشرت سبعه تريكو )</t>
  </si>
  <si>
    <t>21/5/2026</t>
  </si>
  <si>
    <t xml:space="preserve">شروال ميلتون وايد ليج قصات </t>
  </si>
  <si>
    <t>22/5/2026</t>
  </si>
  <si>
    <t>مرتجع (تيشرت راوند SUB )</t>
  </si>
  <si>
    <t>مرتجع (تيشرت راوند  تطريز جلد )</t>
  </si>
  <si>
    <t>مرتجع (تيشرت نيو كاردونيل يائه قصات )</t>
  </si>
  <si>
    <t>مرتجع (تيشرت كاردونيه ليائه عصام صاصا)</t>
  </si>
  <si>
    <t>مرتجع (شروال باجي انترلوك )</t>
  </si>
  <si>
    <t>مرتجع (شروال سمر ميلتون جوردن )</t>
  </si>
  <si>
    <t>مرتجع (شروال وايد ليج بالنسياجا انتر لوك )</t>
  </si>
  <si>
    <t>24/5/2026</t>
  </si>
  <si>
    <t>مرتجع (ترنج انترلوك NR )</t>
  </si>
  <si>
    <t>18/6/2026</t>
  </si>
  <si>
    <t>فاتورة مرتجع</t>
  </si>
  <si>
    <t>16/7/2026</t>
  </si>
  <si>
    <t xml:space="preserve">دبل سوسته </t>
  </si>
  <si>
    <t>حساب العميل: الاتشو</t>
  </si>
  <si>
    <t>اخر عملية دفع  من 30/10</t>
  </si>
  <si>
    <t>حساب العميل: علاء بوم ارض النت</t>
  </si>
  <si>
    <t>16/4/2026</t>
  </si>
  <si>
    <t xml:space="preserve">شروال وايد ليج بالنسياجا </t>
  </si>
  <si>
    <t xml:space="preserve">شروال ميلتون جوردن </t>
  </si>
  <si>
    <t xml:space="preserve">شروال ميلتون اوفر سايز </t>
  </si>
  <si>
    <t>19/4/2026</t>
  </si>
  <si>
    <t xml:space="preserve">شروال باجي انتر لوك </t>
  </si>
  <si>
    <t xml:space="preserve">دفعه كاش </t>
  </si>
  <si>
    <t>تيشرت دبل سوسته</t>
  </si>
  <si>
    <t>دبل سوسته</t>
  </si>
  <si>
    <t xml:space="preserve">مرتجع شروال جوردن </t>
  </si>
  <si>
    <t xml:space="preserve">تيشرت دبل سوسته </t>
  </si>
  <si>
    <t>14/5/2026</t>
  </si>
  <si>
    <t>دفعه كاش</t>
  </si>
  <si>
    <t xml:space="preserve">مرتجع </t>
  </si>
  <si>
    <t>23/5/2026</t>
  </si>
  <si>
    <t xml:space="preserve">شورت جوردن </t>
  </si>
  <si>
    <t>27/5/2026</t>
  </si>
  <si>
    <t>كاش</t>
  </si>
  <si>
    <t>17/6/2026</t>
  </si>
  <si>
    <t xml:space="preserve">تيشرت بولو ليفربول </t>
  </si>
  <si>
    <t>ترنج انترلوك NR</t>
  </si>
  <si>
    <t>19/6/2026</t>
  </si>
  <si>
    <t xml:space="preserve">شروال نايك استك </t>
  </si>
  <si>
    <t>دفعه</t>
  </si>
  <si>
    <t>21/6/2026</t>
  </si>
  <si>
    <t xml:space="preserve">شروال ميلتون وايد ليج </t>
  </si>
  <si>
    <t>24/6/2026</t>
  </si>
  <si>
    <t>26/6/2026</t>
  </si>
  <si>
    <t>15/7/2026</t>
  </si>
  <si>
    <t xml:space="preserve">شروال مكسر </t>
  </si>
  <si>
    <t>حساب فاتورة الشروال المكسر</t>
  </si>
  <si>
    <t>17/7/2026</t>
  </si>
  <si>
    <t>23/7/2026</t>
  </si>
  <si>
    <t>25/7/2026</t>
  </si>
  <si>
    <t>31/7/2026</t>
  </si>
  <si>
    <t xml:space="preserve">شروال اوفر سايز قصات تطريز </t>
  </si>
  <si>
    <t xml:space="preserve">مدفوع تمن الفاتوره من لافي </t>
  </si>
  <si>
    <t>شروال اوفر سايز تطريز قصات</t>
  </si>
  <si>
    <t>دفعه كاش ع رقم كري من فاتوره الشورت والشروال</t>
  </si>
  <si>
    <t>16/8/2026</t>
  </si>
  <si>
    <t>17/8/2026</t>
  </si>
  <si>
    <t>20/8/2026</t>
  </si>
  <si>
    <t xml:space="preserve">كلاسيك وايد ليج </t>
  </si>
  <si>
    <t xml:space="preserve">ديفو </t>
  </si>
  <si>
    <t xml:space="preserve">شروال شريط ميلتون </t>
  </si>
  <si>
    <t>22/8/2026</t>
  </si>
  <si>
    <t>حساب العميل: كيمو ميت ابو خالد</t>
  </si>
  <si>
    <t>من اخر عملية سحب ودفع 12/4</t>
  </si>
  <si>
    <t>حساب العميل: KAZO</t>
  </si>
  <si>
    <t>حساب العميل: LAFY</t>
  </si>
  <si>
    <t>20/6/2026</t>
  </si>
  <si>
    <t xml:space="preserve">بدي ساده </t>
  </si>
  <si>
    <t>شورت تطريز جلد</t>
  </si>
  <si>
    <t>27/6/2026</t>
  </si>
  <si>
    <t xml:space="preserve">مرتجع شورت تطريز جلد </t>
  </si>
  <si>
    <t xml:space="preserve">تيشرت انترلوك تريكو </t>
  </si>
  <si>
    <t xml:space="preserve">خصم علي دبل سوسته </t>
  </si>
  <si>
    <t xml:space="preserve">خصم علي بولو ليفربول  </t>
  </si>
  <si>
    <t xml:space="preserve">خصم علي بدي ساده </t>
  </si>
  <si>
    <t>26/7/2026</t>
  </si>
  <si>
    <t xml:space="preserve">شروال اديداس وايد ليج </t>
  </si>
  <si>
    <t>شروال انترلوك وايد ليج اديداس</t>
  </si>
  <si>
    <t xml:space="preserve">خصم علي تيشرت انترلوك تريكو </t>
  </si>
  <si>
    <t>20/7/2026</t>
  </si>
  <si>
    <t xml:space="preserve">فاتوره علاء بوم </t>
  </si>
  <si>
    <t xml:space="preserve">شروال انترلوك تطريز </t>
  </si>
  <si>
    <t>مرتجع</t>
  </si>
  <si>
    <t xml:space="preserve">شروال بولو ريب قصات </t>
  </si>
  <si>
    <t xml:space="preserve">شروال نايك قصات </t>
  </si>
  <si>
    <t>حساب العميل: POINT زفتي (جديد)</t>
  </si>
  <si>
    <t>25/5/2026</t>
  </si>
  <si>
    <t xml:space="preserve">شورت نايك </t>
  </si>
  <si>
    <t xml:space="preserve">شروال وايد ليج انترلوك بالنسياجا </t>
  </si>
  <si>
    <t>26/5/2026</t>
  </si>
  <si>
    <t xml:space="preserve">دفعه مدفوعه للصياد </t>
  </si>
  <si>
    <t>30/7/2026</t>
  </si>
  <si>
    <t xml:space="preserve">شروال انترلوك قصات </t>
  </si>
  <si>
    <t xml:space="preserve">شروال جوردن شريط </t>
  </si>
  <si>
    <t xml:space="preserve">شروال انترلوك مستورد اولد مان </t>
  </si>
  <si>
    <t xml:space="preserve">شروال بولو ريب </t>
  </si>
  <si>
    <t>21/8/2026</t>
  </si>
  <si>
    <t>حساب العميل: POINT سعد زغلول (قديم)</t>
  </si>
  <si>
    <t xml:space="preserve">قديم </t>
  </si>
  <si>
    <t>حساب العميل: POWER ارض النت</t>
  </si>
  <si>
    <t xml:space="preserve">تيشرت بالنسياجا </t>
  </si>
  <si>
    <t>بدي كاردونيه</t>
  </si>
  <si>
    <t>16/5/2026</t>
  </si>
  <si>
    <t>29/5/2026</t>
  </si>
  <si>
    <t xml:space="preserve">دفعه مدفوع ل حاتم </t>
  </si>
  <si>
    <t xml:space="preserve">دفعه نقدي </t>
  </si>
  <si>
    <t>16/6/2026</t>
  </si>
  <si>
    <t>حساب العميل: POWER زفتي</t>
  </si>
  <si>
    <t xml:space="preserve">ديفهات </t>
  </si>
  <si>
    <t xml:space="preserve">شروال باجي انترلوك </t>
  </si>
  <si>
    <t xml:space="preserve">خصم </t>
  </si>
  <si>
    <t xml:space="preserve">ديفوو </t>
  </si>
  <si>
    <t xml:space="preserve">شروال نايك سمر ميلتون </t>
  </si>
  <si>
    <t xml:space="preserve">دفعه بتاريخ الفاتوره </t>
  </si>
  <si>
    <t>حساب العميل: احمد المنوفي</t>
  </si>
  <si>
    <t xml:space="preserve">شروال نايك </t>
  </si>
  <si>
    <t>حساب العميل: السفير</t>
  </si>
  <si>
    <t xml:space="preserve">مرتجع تيشرت </t>
  </si>
  <si>
    <t>22/7/2026</t>
  </si>
  <si>
    <t>حساب العميل: العالمي</t>
  </si>
  <si>
    <t>حساب العميل: باهي التركي</t>
  </si>
  <si>
    <t>18/4/2026</t>
  </si>
  <si>
    <t>20/4/2026</t>
  </si>
  <si>
    <t xml:space="preserve">طرف بندق </t>
  </si>
  <si>
    <t>29/4/2026</t>
  </si>
  <si>
    <t>دفعه نقدي</t>
  </si>
  <si>
    <t>بدي ساده</t>
  </si>
  <si>
    <t>14/6/2026</t>
  </si>
  <si>
    <t>حساب العميل: توتي دماص</t>
  </si>
  <si>
    <t xml:space="preserve">شروال ميلتون اديداس </t>
  </si>
  <si>
    <t xml:space="preserve">مدفوع ع رقم حاتم </t>
  </si>
  <si>
    <t>شروال نايك سمر فوطه</t>
  </si>
  <si>
    <t>حساب العميل: رضا محمد</t>
  </si>
  <si>
    <t>تيشرت كاردونيه</t>
  </si>
  <si>
    <t>حساب العميل: زومبي العشري</t>
  </si>
  <si>
    <t xml:space="preserve">شورت ميلتون </t>
  </si>
  <si>
    <t xml:space="preserve">اولد ماني شروال </t>
  </si>
  <si>
    <t>14/8/2026</t>
  </si>
  <si>
    <t>حساب العميل: محمد عرابي</t>
  </si>
  <si>
    <t xml:space="preserve">شروال قصات انترلوك تطريز </t>
  </si>
  <si>
    <t xml:space="preserve">شروال انترلوك وايد ليج  اديداس </t>
  </si>
  <si>
    <t>حساب العميل: عم جمال</t>
  </si>
  <si>
    <t>27/7/2026</t>
  </si>
  <si>
    <t>شروال جوردن شريط</t>
  </si>
  <si>
    <t xml:space="preserve">شروال جوردن </t>
  </si>
  <si>
    <t xml:space="preserve">شروال قصات شريط </t>
  </si>
  <si>
    <t>19/8/2026</t>
  </si>
  <si>
    <t>حساب العميل: فاير سيليكت</t>
  </si>
  <si>
    <t>شروال اولد ماني</t>
  </si>
  <si>
    <t xml:space="preserve">شروال ميلتون قطن شريط </t>
  </si>
  <si>
    <t xml:space="preserve">          </t>
  </si>
  <si>
    <t>شروال اديداس ميلتون</t>
  </si>
  <si>
    <t>27/72026</t>
  </si>
  <si>
    <t>تيشرت كاردونيه 7</t>
  </si>
  <si>
    <t>حساب العميل: فرانكو</t>
  </si>
  <si>
    <t xml:space="preserve">شروال ساده انترلوك </t>
  </si>
  <si>
    <t>حساب العميل: كريم بكر</t>
  </si>
  <si>
    <t>من اخر عملية دفع وسحب  11/3</t>
  </si>
  <si>
    <t xml:space="preserve">لكريم فرق البدجات </t>
  </si>
  <si>
    <t>حساب العميل: بفرا</t>
  </si>
  <si>
    <t xml:space="preserve">فاتوره تيشرت مكسر LV + مقطع قديم </t>
  </si>
  <si>
    <t>حساب العميل: محل كوم النور</t>
  </si>
  <si>
    <t xml:space="preserve">تيشرت مقطع حام مستورد </t>
  </si>
  <si>
    <t xml:space="preserve">تيشرت سبعه كاردونيه </t>
  </si>
  <si>
    <t>20/5/2026</t>
  </si>
  <si>
    <t xml:space="preserve">تيشرت كاردونيه ليائه </t>
  </si>
  <si>
    <t xml:space="preserve">تيشرت تطريزجلد </t>
  </si>
  <si>
    <t xml:space="preserve">شروال انترلوك اديداس </t>
  </si>
  <si>
    <t xml:space="preserve">تيشرت مقطع </t>
  </si>
  <si>
    <t xml:space="preserve">مرتجع شروال </t>
  </si>
  <si>
    <t xml:space="preserve">مرتجع شورت </t>
  </si>
  <si>
    <t>18/8/2026</t>
  </si>
  <si>
    <t xml:space="preserve">تحصيل </t>
  </si>
  <si>
    <t>حساب العميل: محمد النجار</t>
  </si>
  <si>
    <t xml:space="preserve">شروال انترلوك اولد ماني </t>
  </si>
  <si>
    <t xml:space="preserve">دفعه من تاريخ الفاتوره </t>
  </si>
  <si>
    <t>حساب العميل: محمود عبدالرسول</t>
  </si>
  <si>
    <t>شروال وايد ليج انتر لوك</t>
  </si>
  <si>
    <t>شروال وايد ليج بالنسياجا</t>
  </si>
  <si>
    <t>دبل سوسته تطريز</t>
  </si>
  <si>
    <t>24/5/5026</t>
  </si>
  <si>
    <t>خصم</t>
  </si>
  <si>
    <t xml:space="preserve">شروال وايد ليج ميلتون </t>
  </si>
  <si>
    <t xml:space="preserve">تيشرت كاردونيه سبعه </t>
  </si>
  <si>
    <t>29/6/2026</t>
  </si>
  <si>
    <t xml:space="preserve">مرتجع تيشرت كاردونيه سبعه </t>
  </si>
  <si>
    <t>حساب العميل: مول المصطفي</t>
  </si>
  <si>
    <t>15/4/2026</t>
  </si>
  <si>
    <t xml:space="preserve"> مرتجع (تيشرت كاردونيه ليائه عصام صاصا)</t>
  </si>
  <si>
    <t xml:space="preserve"> مرتجع (تيشرت راوند رجلان تطريز SUB)</t>
  </si>
  <si>
    <t>مرتجع (تيشرت راوند رجلان تطريز جلد)</t>
  </si>
  <si>
    <t>مرتجع (شروال سمر ميلتون اوفر سيز )</t>
  </si>
  <si>
    <t>مرتجع(شروال وايد ليج بالنسياجا )</t>
  </si>
  <si>
    <t>مرتجع(شروال باجي انترلوك )</t>
  </si>
  <si>
    <t>بولو ليفربول</t>
  </si>
  <si>
    <t xml:space="preserve">خصم تيشرت ليفربول </t>
  </si>
  <si>
    <t>حساب العميل: مصانع  (بيانات ملخصة من تقرير الجرد - لسه محتاجين ملفه الحقيقي)</t>
  </si>
  <si>
    <t xml:space="preserve">شروال انترلوك وايد ليج اديداس </t>
  </si>
  <si>
    <t>B114</t>
  </si>
  <si>
    <t>B118</t>
  </si>
  <si>
    <t xml:space="preserve">شروال بالنسياجا </t>
  </si>
  <si>
    <t>B113</t>
  </si>
  <si>
    <t>P.B</t>
  </si>
  <si>
    <t xml:space="preserve">مرتجع شروال انترلوك تطريز </t>
  </si>
  <si>
    <t xml:space="preserve">مرتجع تيشرت دبل سوسته </t>
  </si>
  <si>
    <t xml:space="preserve">مرتجع شروال شريط افر سايز </t>
  </si>
  <si>
    <t>شروال شريط  بالنسيجا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</si>
</sst>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-#,##0;\-"/>
    <numFmt numFmtId="165" formatCode="yyyy\-mm\-dd\ h:mm:ss"/>
  </numFmts>
  <fonts count="1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b/>
      <sz val="11"/>
      <color rgb="FFFFFFFF"/>
      <name val="Arial"/>
      <charset val="1"/>
    </font>
    <font>
      <sz val="11"/>
      <color rgb="FF0000FF"/>
      <name val="Arial"/>
      <charset val="1"/>
    </font>
    <font>
      <sz val="11"/>
      <color rgb="FF008000"/>
      <name val="Arial"/>
      <charset val="1"/>
    </font>
    <font>
      <sz val="11"/>
      <color rgb="FF000000"/>
      <name val="Arial"/>
      <charset val="1"/>
    </font>
    <font>
      <b/>
      <sz val="11"/>
      <name val="Arial"/>
      <charset val="1"/>
    </font>
    <font>
      <sz val="10"/>
      <name val="FreeSans"/>
      <family val="2"/>
    </font>
    <font>
      <b/>
      <sz val="11"/>
      <color rgb="FF0000FF"/>
      <name val="Arial"/>
      <family val="2"/>
    </font>
    <font>
      <sz val="11"/>
      <color rgb="FF0000FF"/>
      <name val="Arial"/>
      <family val="2"/>
    </font>
    <font>
      <b/>
      <sz val="11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6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/>
    <xf numFmtId="3" fontId="3" fillId="3" borderId="1" xfId="0" applyNumberFormat="1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3" fontId="6" fillId="4" borderId="0" xfId="0" applyNumberFormat="1" applyFont="1" applyFill="1"/>
    <xf numFmtId="165" fontId="3" fillId="3" borderId="1" xfId="0" applyNumberFormat="1" applyFont="1" applyFill="1" applyBorder="1"/>
    <xf numFmtId="4" fontId="3" fillId="3" borderId="1" xfId="0" applyNumberFormat="1" applyFont="1" applyFill="1" applyBorder="1"/>
    <xf numFmtId="4" fontId="5" fillId="0" borderId="1" xfId="0" applyNumberFormat="1" applyFont="1" applyBorder="1"/>
    <xf numFmtId="14" fontId="3" fillId="3" borderId="1" xfId="0" applyNumberFormat="1" applyFont="1" applyFill="1" applyBorder="1"/>
    <xf numFmtId="14" fontId="8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9" fillId="3" borderId="1" xfId="0" applyFont="1" applyFill="1" applyBorder="1"/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/>
    </xf>
    <xf numFmtId="0" fontId="9" fillId="3" borderId="1" xfId="0" applyNumberFormat="1" applyFont="1" applyFill="1" applyBorder="1"/>
    <xf numFmtId="14" fontId="9" fillId="3" borderId="1" xfId="0" applyNumberFormat="1" applyFont="1" applyFill="1" applyBorder="1" applyAlignment="1">
      <alignment horizontal="center"/>
    </xf>
    <xf numFmtId="0" fontId="3" fillId="3" borderId="1" xfId="0" applyNumberFormat="1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9" fillId="3" borderId="1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5"/>
  <sheetViews>
    <sheetView rightToLeft="1" tabSelected="1" zoomScaleNormal="100" workbookViewId="0">
      <pane xSplit="1" ySplit="2" topLeftCell="F3" activePane="bottomRight" state="frozen"/>
      <selection pane="topRight" activeCell="B1" sqref="B1"/>
      <selection pane="bottomLeft" activeCell="A3" sqref="A3"/>
      <selection pane="bottomRight" activeCell="F20" sqref="F20"/>
    </sheetView>
  </sheetViews>
  <sheetFormatPr defaultColWidth="8.6640625" defaultRowHeight="14.4"/>
  <cols>
    <col min="1" max="1" width="10" customWidth="1"/>
    <col min="2" max="30" width="12" customWidth="1"/>
    <col min="31" max="31" width="14" customWidth="1"/>
    <col min="32" max="32" width="28" customWidth="1"/>
    <col min="33" max="33" width="16" customWidth="1"/>
    <col min="34" max="35" width="12" customWidth="1"/>
    <col min="36" max="36" width="16" customWidth="1"/>
  </cols>
  <sheetData>
    <row r="1" spans="1:36" ht="17.399999999999999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ht="27.6">
      <c r="A2" s="3" t="s">
        <v>1</v>
      </c>
      <c r="B2" s="26" t="s">
        <v>2</v>
      </c>
      <c r="C2" s="26" t="s">
        <v>3</v>
      </c>
      <c r="D2" s="3" t="s">
        <v>4</v>
      </c>
      <c r="E2" s="3" t="s">
        <v>5</v>
      </c>
      <c r="F2" s="3" t="s">
        <v>6</v>
      </c>
      <c r="G2" s="26" t="s">
        <v>7</v>
      </c>
      <c r="H2" s="26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</row>
    <row r="3" spans="1:36">
      <c r="A3" s="4" t="s">
        <v>37</v>
      </c>
      <c r="B3" s="5">
        <f>IF($A3="","",SUMIFS('4K حموده'!$D:$D,'4K حموده'!$C:$C,$A3,'4K حموده'!$F:$F,"&lt;&gt;")-SUMIFS('4K حموده'!$D:$D,'4K حموده'!$C:$C,$A3,'4K حموده'!$G:$G,"&lt;&gt;",'4K حموده'!$F:$F,""))</f>
        <v>0</v>
      </c>
      <c r="C3" s="5">
        <f>IF($A3="","",SUMIFS('مكتب القاضي'!$D:$D,'مكتب القاضي'!$C:$C,$A3,'مكتب القاضي'!$F:$F,"&lt;&gt;")-SUMIFS('مكتب القاضي'!$D:$D,'مكتب القاضي'!$C:$C,$A3,'مكتب القاضي'!$G:$G,"&lt;&gt;",'مكتب القاضي'!$F:$F,""))</f>
        <v>21</v>
      </c>
      <c r="D3" s="5">
        <f>IF($A3="","",SUMIFS(الاتشو!$D:$D,الاتشو!$C:$C,$A3,الاتشو!$F:$F,"&lt;&gt;")-SUMIFS(الاتشو!$D:$D,الاتشو!$C:$C,$A3,الاتشو!$G:$G,"&lt;&gt;",الاتشو!$F:$F,""))</f>
        <v>0</v>
      </c>
      <c r="E3" s="5">
        <f>IF($A3="","",SUMIFS('علاء بوم ارض النت'!$D:$D,'علاء بوم ارض النت'!$C:$C,$A3,'علاء بوم ارض النت'!$F:$F,"&lt;&gt;")-SUMIFS('علاء بوم ارض النت'!$D:$D,'علاء بوم ارض النت'!$C:$C,$A3,'علاء بوم ارض النت'!$G:$G,"&lt;&gt;",'علاء بوم ارض النت'!$F:$F,""))</f>
        <v>4</v>
      </c>
      <c r="F3" s="5">
        <f>IF($A3="","",SUMIFS('كيمو ميت ابو خالد'!$D:$D,'كيمو ميت ابو خالد'!$C:$C,$A3,'كيمو ميت ابو خالد'!$F:$F,"&lt;&gt;")-SUMIFS('كيمو ميت ابو خالد'!$D:$D,'كيمو ميت ابو خالد'!$C:$C,$A3,'كيمو ميت ابو خالد'!$G:$G,"&lt;&gt;",'كيمو ميت ابو خالد'!$F:$F,""))</f>
        <v>0</v>
      </c>
      <c r="G3" s="5">
        <f>IF($A3="","",SUMIFS(KAZO!$D:$D,KAZO!$C:$C,$A3,KAZO!$F:$F,"&lt;&gt;")-SUMIFS(KAZO!$D:$D,KAZO!$C:$C,$A3,KAZO!$G:$G,"&lt;&gt;",KAZO!$F:$F,""))</f>
        <v>0</v>
      </c>
      <c r="H3" s="5">
        <f>IF($A3="","",SUMIFS(LAFY!$D:$D,LAFY!$C:$C,$A3,LAFY!$F:$F,"&lt;&gt;")-SUMIFS(LAFY!$D:$D,LAFY!$C:$C,$A3,LAFY!$G:$G,"&lt;&gt;",LAFY!$F:$F,""))</f>
        <v>0</v>
      </c>
      <c r="I3" s="5">
        <f>IF($A3="","",SUMIFS('POINT زفتي (جديد)'!$D:$D,'POINT زفتي (جديد)'!$C:$C,$A3,'POINT زفتي (جديد)'!$F:$F,"&lt;&gt;")-SUMIFS('POINT زفتي (جديد)'!$D:$D,'POINT زفتي (جديد)'!$C:$C,$A3,'POINT زفتي (جديد)'!$G:$G,"&lt;&gt;",'POINT زفتي (جديد)'!$F:$F,""))</f>
        <v>6</v>
      </c>
      <c r="J3" s="5">
        <f>IF($A3="","",SUMIFS('POINT سعد زغلول (قديم)'!$D:$D,'POINT سعد زغلول (قديم)'!$C:$C,$A3,'POINT سعد زغلول (قديم)'!$F:$F,"&lt;&gt;")-SUMIFS('POINT سعد زغلول (قديم)'!$D:$D,'POINT سعد زغلول (قديم)'!$C:$C,$A3,'POINT سعد زغلول (قديم)'!$G:$G,"&lt;&gt;",'POINT سعد زغلول (قديم)'!$F:$F,""))</f>
        <v>0</v>
      </c>
      <c r="K3" s="5">
        <f>IF($A3="","",SUMIFS('POWER ارض النت'!$D:$D,'POWER ارض النت'!$C:$C,$A3,'POWER ارض النت'!$F:$F,"&lt;&gt;")-SUMIFS('POWER ارض النت'!$D:$D,'POWER ارض النت'!$C:$C,$A3,'POWER ارض النت'!$G:$G,"&lt;&gt;",'POWER ارض النت'!$F:$F,""))</f>
        <v>0</v>
      </c>
      <c r="L3" s="5">
        <f>IF($A3="","",SUMIFS('POWER زفتي'!$D:$D,'POWER زفتي'!$C:$C,$A3,'POWER زفتي'!$F:$F,"&lt;&gt;")-SUMIFS('POWER زفتي'!$D:$D,'POWER زفتي'!$C:$C,$A3,'POWER زفتي'!$G:$G,"&lt;&gt;",'POWER زفتي'!$F:$F,""))</f>
        <v>0</v>
      </c>
      <c r="M3" s="5">
        <f>IF($A3="","",SUMIFS('احمد المنوفي'!$D:$D,'احمد المنوفي'!$C:$C,$A3,'احمد المنوفي'!$F:$F,"&lt;&gt;")-SUMIFS('احمد المنوفي'!$D:$D,'احمد المنوفي'!$C:$C,$A3,'احمد المنوفي'!$G:$G,"&lt;&gt;",'احمد المنوفي'!$F:$F,""))</f>
        <v>0</v>
      </c>
      <c r="N3" s="5">
        <f>IF($A3="","",SUMIFS(السفير!$D:$D,السفير!$C:$C,$A3,السفير!$F:$F,"&lt;&gt;")-SUMIFS(السفير!$D:$D,السفير!$C:$C,$A3,السفير!$G:$G,"&lt;&gt;",السفير!$F:$F,""))</f>
        <v>24</v>
      </c>
      <c r="O3" s="5">
        <f>IF($A3="","",SUMIFS(العالمي!$D:$D,العالمي!$C:$C,$A3,العالمي!$F:$F,"&lt;&gt;")-SUMIFS(العالمي!$D:$D,العالمي!$C:$C,$A3,العالمي!$G:$G,"&lt;&gt;",العالمي!$F:$F,""))</f>
        <v>0</v>
      </c>
      <c r="P3" s="5">
        <f>IF($A3="","",SUMIFS('باهي التركي'!$D:$D,'باهي التركي'!$C:$C,$A3,'باهي التركي'!$F:$F,"&lt;&gt;")-SUMIFS('باهي التركي'!$D:$D,'باهي التركي'!$C:$C,$A3,'باهي التركي'!$G:$G,"&lt;&gt;",'باهي التركي'!$F:$F,""))</f>
        <v>24</v>
      </c>
      <c r="Q3" s="5">
        <f>IF($A3="","",SUMIFS('توتي دماص'!$D:$D,'توتي دماص'!$C:$C,$A3,'توتي دماص'!$F:$F,"&lt;&gt;")-SUMIFS('توتي دماص'!$D:$D,'توتي دماص'!$C:$C,$A3,'توتي دماص'!$G:$G,"&lt;&gt;",'توتي دماص'!$F:$F,""))</f>
        <v>0</v>
      </c>
      <c r="R3" s="5">
        <f>IF($A3="","",SUMIFS('رضا محمد'!$D:$D,'رضا محمد'!$C:$C,$A3,'رضا محمد'!$F:$F,"&lt;&gt;")-SUMIFS('رضا محمد'!$D:$D,'رضا محمد'!$C:$C,$A3,'رضا محمد'!$G:$G,"&lt;&gt;",'رضا محمد'!$F:$F,""))</f>
        <v>0</v>
      </c>
      <c r="S3" s="5">
        <f>IF($A3="","",SUMIFS('زومبي العشري'!$D:$D,'زومبي العشري'!$C:$C,$A3,'زومبي العشري'!$F:$F,"&lt;&gt;")-SUMIFS('زومبي العشري'!$D:$D,'زومبي العشري'!$C:$C,$A3,'زومبي العشري'!$G:$G,"&lt;&gt;",'زومبي العشري'!$F:$F,""))</f>
        <v>0</v>
      </c>
      <c r="T3" s="5">
        <f>IF($A3="","",SUMIFS('محمد عرابي'!$D:$D,'محمد عرابي'!$C:$C,$A3,'محمد عرابي'!$F:$F,"&lt;&gt;")-SUMIFS('محمد عرابي'!$D:$D,'محمد عرابي'!$C:$C,$A3,'محمد عرابي'!$G:$G,"&lt;&gt;",'محمد عرابي'!$F:$F,""))</f>
        <v>0</v>
      </c>
      <c r="U3" s="5">
        <f>IF($A3="","",SUMIFS('عم جمال'!$D:$D,'عم جمال'!$C:$C,$A3,'عم جمال'!$F:$F,"&lt;&gt;")-SUMIFS('عم جمال'!$D:$D,'عم جمال'!$C:$C,$A3,'عم جمال'!$G:$G,"&lt;&gt;",'عم جمال'!$F:$F,""))</f>
        <v>16</v>
      </c>
      <c r="V3" s="5">
        <f>IF($A3="","",SUMIFS('فاير سيليكت'!$D:$D,'فاير سيليكت'!$C:$C,$A3,'فاير سيليكت'!$F:$F,"&lt;&gt;")-SUMIFS('فاير سيليكت'!$D:$D,'فاير سيليكت'!$C:$C,$A3,'فاير سيليكت'!$G:$G,"&lt;&gt;",'فاير سيليكت'!$F:$F,""))</f>
        <v>0</v>
      </c>
      <c r="W3" s="5">
        <f>IF($A3="","",SUMIFS(فرانكو!$D:$D,فرانكو!$C:$C,$A3,فرانكو!$F:$F,"&lt;&gt;")-SUMIFS(فرانكو!$D:$D,فرانكو!$C:$C,$A3,فرانكو!$G:$G,"&lt;&gt;",فرانكو!$F:$F,""))</f>
        <v>0</v>
      </c>
      <c r="X3" s="5">
        <f>IF($A3="","",SUMIFS('كريم بكر'!$D:$D,'كريم بكر'!$C:$C,$A3,'كريم بكر'!$F:$F,"&lt;&gt;")-SUMIFS('كريم بكر'!$D:$D,'كريم بكر'!$C:$C,$A3,'كريم بكر'!$G:$G,"&lt;&gt;",'كريم بكر'!$F:$F,""))</f>
        <v>0</v>
      </c>
      <c r="Y3" s="5">
        <f>IF($A3="","",SUMIFS(بفرا!$D:$D,بفرا!$C:$C,$A3,بفرا!$F:$F,"&lt;&gt;")-SUMIFS(بفرا!$D:$D,بفرا!$C:$C,$A3,بفرا!$G:$G,"&lt;&gt;",بفرا!$F:$F,""))</f>
        <v>0</v>
      </c>
      <c r="Z3" s="5">
        <f>IF($A3="","",SUMIFS('محل كوم النور'!$D:$D,'محل كوم النور'!$C:$C,$A3,'محل كوم النور'!$F:$F,"&lt;&gt;")-SUMIFS('محل كوم النور'!$D:$D,'محل كوم النور'!$C:$C,$A3,'محل كوم النور'!$G:$G,"&lt;&gt;",'محل كوم النور'!$F:$F,""))</f>
        <v>12</v>
      </c>
      <c r="AA3" s="5">
        <f>IF($A3="","",SUMIFS('محمد النجار'!$D:$D,'محمد النجار'!$C:$C,$A3,'محمد النجار'!$F:$F,"&lt;&gt;")-SUMIFS('محمد النجار'!$D:$D,'محمد النجار'!$C:$C,$A3,'محمد النجار'!$G:$G,"&lt;&gt;",'محمد النجار'!$F:$F,""))</f>
        <v>0</v>
      </c>
      <c r="AB3" s="5">
        <f>IF($A3="","",SUMIFS('محمود عبدالرسول'!$D:$D,'محمود عبدالرسول'!$C:$C,$A3,'محمود عبدالرسول'!$F:$F,"&lt;&gt;")-SUMIFS('محمود عبدالرسول'!$D:$D,'محمود عبدالرسول'!$C:$C,$A3,'محمود عبدالرسول'!$G:$G,"&lt;&gt;",'محمود عبدالرسول'!$F:$F,""))</f>
        <v>0</v>
      </c>
      <c r="AC3" s="5">
        <f>IF($A3="","",SUMIFS('مول المصطفي'!$D:$D,'مول المصطفي'!$C:$C,$A3,'مول المصطفي'!$F:$F,"&lt;&gt;")-SUMIFS('مول المصطفي'!$D:$D,'مول المصطفي'!$C:$C,$A3,'مول المصطفي'!$G:$G,"&lt;&gt;",'مول المصطفي'!$F:$F,""))</f>
        <v>24</v>
      </c>
      <c r="AD3" s="5">
        <f>IF($A3="","",SUMIFS(مصانع!$D:$D,مصانع!$C:$C,$A3,مصانع!$F:$F,"&lt;&gt;")-SUMIFS(مصانع!$D:$D,مصانع!$C:$C,$A3,مصانع!$G:$G,"&lt;&gt;",مصانع!$F:$F,""))</f>
        <v>0</v>
      </c>
      <c r="AE3" s="6">
        <f t="shared" ref="AE3:AE17" si="0">IF($A3="","",SUM(B3:AD3))</f>
        <v>131</v>
      </c>
      <c r="AF3" s="7" t="s">
        <v>38</v>
      </c>
      <c r="AG3" s="8">
        <v>160</v>
      </c>
      <c r="AH3" s="9">
        <f t="shared" ref="AH3:AH17" si="1">IF(OR($A3="",AG3=""),"",AG3-AE3)</f>
        <v>29</v>
      </c>
      <c r="AI3" s="8">
        <v>325</v>
      </c>
      <c r="AJ3" s="6">
        <f t="shared" ref="AJ3:AJ17" si="2">IF(OR($A3="",AH3=""),"",AH3*AI3)</f>
        <v>9425</v>
      </c>
    </row>
    <row r="4" spans="1:36">
      <c r="A4" s="4" t="s">
        <v>39</v>
      </c>
      <c r="B4" s="5">
        <f>IF($A4="","",SUMIFS('4K حموده'!$D:$D,'4K حموده'!$C:$C,$A4,'4K حموده'!$F:$F,"&lt;&gt;")-SUMIFS('4K حموده'!$D:$D,'4K حموده'!$C:$C,$A4,'4K حموده'!$G:$G,"&lt;&gt;",'4K حموده'!$F:$F,""))</f>
        <v>0</v>
      </c>
      <c r="C4" s="5">
        <f>IF($A4="","",SUMIFS('مكتب القاضي'!$D:$D,'مكتب القاضي'!$C:$C,$A4,'مكتب القاضي'!$F:$F,"&lt;&gt;")-SUMIFS('مكتب القاضي'!$D:$D,'مكتب القاضي'!$C:$C,$A4,'مكتب القاضي'!$G:$G,"&lt;&gt;",'مكتب القاضي'!$F:$F,""))</f>
        <v>5</v>
      </c>
      <c r="D4" s="5">
        <f>IF($A4="","",SUMIFS(الاتشو!$D:$D,الاتشو!$C:$C,$A4,الاتشو!$F:$F,"&lt;&gt;")-SUMIFS(الاتشو!$D:$D,الاتشو!$C:$C,$A4,الاتشو!$G:$G,"&lt;&gt;",الاتشو!$F:$F,""))</f>
        <v>0</v>
      </c>
      <c r="E4" s="5">
        <f>IF($A4="","",SUMIFS('علاء بوم ارض النت'!$D:$D,'علاء بوم ارض النت'!$C:$C,$A4,'علاء بوم ارض النت'!$F:$F,"&lt;&gt;")-SUMIFS('علاء بوم ارض النت'!$D:$D,'علاء بوم ارض النت'!$C:$C,$A4,'علاء بوم ارض النت'!$G:$G,"&lt;&gt;",'علاء بوم ارض النت'!$F:$F,""))</f>
        <v>16</v>
      </c>
      <c r="F4" s="5">
        <f>IF($A4="","",SUMIFS('كيمو ميت ابو خالد'!$D:$D,'كيمو ميت ابو خالد'!$C:$C,$A4,'كيمو ميت ابو خالد'!$F:$F,"&lt;&gt;")-SUMIFS('كيمو ميت ابو خالد'!$D:$D,'كيمو ميت ابو خالد'!$C:$C,$A4,'كيمو ميت ابو خالد'!$G:$G,"&lt;&gt;",'كيمو ميت ابو خالد'!$F:$F,""))</f>
        <v>0</v>
      </c>
      <c r="G4" s="5">
        <f>IF($A4="","",SUMIFS(KAZO!$D:$D,KAZO!$C:$C,$A4,KAZO!$F:$F,"&lt;&gt;")-SUMIFS(KAZO!$D:$D,KAZO!$C:$C,$A4,KAZO!$G:$G,"&lt;&gt;",KAZO!$F:$F,""))</f>
        <v>8</v>
      </c>
      <c r="H4" s="5">
        <f>IF($A4="","",SUMIFS(LAFY!$D:$D,LAFY!$C:$C,$A4,LAFY!$F:$F,"&lt;&gt;")-SUMIFS(LAFY!$D:$D,LAFY!$C:$C,$A4,LAFY!$G:$G,"&lt;&gt;",LAFY!$F:$F,""))</f>
        <v>0</v>
      </c>
      <c r="I4" s="5">
        <f>IF($A4="","",SUMIFS('POINT زفتي (جديد)'!$D:$D,'POINT زفتي (جديد)'!$C:$C,$A4,'POINT زفتي (جديد)'!$F:$F,"&lt;&gt;")-SUMIFS('POINT زفتي (جديد)'!$D:$D,'POINT زفتي (جديد)'!$C:$C,$A4,'POINT زفتي (جديد)'!$G:$G,"&lt;&gt;",'POINT زفتي (جديد)'!$F:$F,""))</f>
        <v>18</v>
      </c>
      <c r="J4" s="5">
        <f>IF($A4="","",SUMIFS('POINT سعد زغلول (قديم)'!$D:$D,'POINT سعد زغلول (قديم)'!$C:$C,$A4,'POINT سعد زغلول (قديم)'!$F:$F,"&lt;&gt;")-SUMIFS('POINT سعد زغلول (قديم)'!$D:$D,'POINT سعد زغلول (قديم)'!$C:$C,$A4,'POINT سعد زغلول (قديم)'!$G:$G,"&lt;&gt;",'POINT سعد زغلول (قديم)'!$F:$F,""))</f>
        <v>0</v>
      </c>
      <c r="K4" s="5">
        <f>IF($A4="","",SUMIFS('POWER ارض النت'!$D:$D,'POWER ارض النت'!$C:$C,$A4,'POWER ارض النت'!$F:$F,"&lt;&gt;")-SUMIFS('POWER ارض النت'!$D:$D,'POWER ارض النت'!$C:$C,$A4,'POWER ارض النت'!$G:$G,"&lt;&gt;",'POWER ارض النت'!$F:$F,""))</f>
        <v>0</v>
      </c>
      <c r="L4" s="5">
        <f>IF($A4="","",SUMIFS('POWER زفتي'!$D:$D,'POWER زفتي'!$C:$C,$A4,'POWER زفتي'!$F:$F,"&lt;&gt;")-SUMIFS('POWER زفتي'!$D:$D,'POWER زفتي'!$C:$C,$A4,'POWER زفتي'!$G:$G,"&lt;&gt;",'POWER زفتي'!$F:$F,""))</f>
        <v>8</v>
      </c>
      <c r="M4" s="5">
        <f>IF($A4="","",SUMIFS('احمد المنوفي'!$D:$D,'احمد المنوفي'!$C:$C,$A4,'احمد المنوفي'!$F:$F,"&lt;&gt;")-SUMIFS('احمد المنوفي'!$D:$D,'احمد المنوفي'!$C:$C,$A4,'احمد المنوفي'!$G:$G,"&lt;&gt;",'احمد المنوفي'!$F:$F,""))</f>
        <v>0</v>
      </c>
      <c r="N4" s="5">
        <f>IF($A4="","",SUMIFS(السفير!$D:$D,السفير!$C:$C,$A4,السفير!$F:$F,"&lt;&gt;")-SUMIFS(السفير!$D:$D,السفير!$C:$C,$A4,السفير!$G:$G,"&lt;&gt;",السفير!$F:$F,""))</f>
        <v>16</v>
      </c>
      <c r="O4" s="5">
        <f>IF($A4="","",SUMIFS(العالمي!$D:$D,العالمي!$C:$C,$A4,العالمي!$F:$F,"&lt;&gt;")-SUMIFS(العالمي!$D:$D,العالمي!$C:$C,$A4,العالمي!$G:$G,"&lt;&gt;",العالمي!$F:$F,""))</f>
        <v>0</v>
      </c>
      <c r="P4" s="5">
        <f>IF($A4="","",SUMIFS('باهي التركي'!$D:$D,'باهي التركي'!$C:$C,$A4,'باهي التركي'!$F:$F,"&lt;&gt;")-SUMIFS('باهي التركي'!$D:$D,'باهي التركي'!$C:$C,$A4,'باهي التركي'!$G:$G,"&lt;&gt;",'باهي التركي'!$F:$F,""))</f>
        <v>0</v>
      </c>
      <c r="Q4" s="5">
        <f>IF($A4="","",SUMIFS('توتي دماص'!$D:$D,'توتي دماص'!$C:$C,$A4,'توتي دماص'!$F:$F,"&lt;&gt;")-SUMIFS('توتي دماص'!$D:$D,'توتي دماص'!$C:$C,$A4,'توتي دماص'!$G:$G,"&lt;&gt;",'توتي دماص'!$F:$F,""))</f>
        <v>0</v>
      </c>
      <c r="R4" s="5">
        <f>IF($A4="","",SUMIFS('رضا محمد'!$D:$D,'رضا محمد'!$C:$C,$A4,'رضا محمد'!$F:$F,"&lt;&gt;")-SUMIFS('رضا محمد'!$D:$D,'رضا محمد'!$C:$C,$A4,'رضا محمد'!$G:$G,"&lt;&gt;",'رضا محمد'!$F:$F,""))</f>
        <v>8</v>
      </c>
      <c r="S4" s="5">
        <f>IF($A4="","",SUMIFS('زومبي العشري'!$D:$D,'زومبي العشري'!$C:$C,$A4,'زومبي العشري'!$F:$F,"&lt;&gt;")-SUMIFS('زومبي العشري'!$D:$D,'زومبي العشري'!$C:$C,$A4,'زومبي العشري'!$G:$G,"&lt;&gt;",'زومبي العشري'!$F:$F,""))</f>
        <v>0</v>
      </c>
      <c r="T4" s="5">
        <f>IF($A4="","",SUMIFS('محمد عرابي'!$D:$D,'محمد عرابي'!$C:$C,$A4,'محمد عرابي'!$F:$F,"&lt;&gt;")-SUMIFS('محمد عرابي'!$D:$D,'محمد عرابي'!$C:$C,$A4,'محمد عرابي'!$G:$G,"&lt;&gt;",'محمد عرابي'!$F:$F,""))</f>
        <v>0</v>
      </c>
      <c r="U4" s="5">
        <f>IF($A4="","",SUMIFS('عم جمال'!$D:$D,'عم جمال'!$C:$C,$A4,'عم جمال'!$F:$F,"&lt;&gt;")-SUMIFS('عم جمال'!$D:$D,'عم جمال'!$C:$C,$A4,'عم جمال'!$G:$G,"&lt;&gt;",'عم جمال'!$F:$F,""))</f>
        <v>0</v>
      </c>
      <c r="V4" s="5">
        <f>IF($A4="","",SUMIFS('فاير سيليكت'!$D:$D,'فاير سيليكت'!$C:$C,$A4,'فاير سيليكت'!$F:$F,"&lt;&gt;")-SUMIFS('فاير سيليكت'!$D:$D,'فاير سيليكت'!$C:$C,$A4,'فاير سيليكت'!$G:$G,"&lt;&gt;",'فاير سيليكت'!$F:$F,""))</f>
        <v>0</v>
      </c>
      <c r="W4" s="5">
        <f>IF($A4="","",SUMIFS(فرانكو!$D:$D,فرانكو!$C:$C,$A4,فرانكو!$F:$F,"&lt;&gt;")-SUMIFS(فرانكو!$D:$D,فرانكو!$C:$C,$A4,فرانكو!$G:$G,"&lt;&gt;",فرانكو!$F:$F,""))</f>
        <v>0</v>
      </c>
      <c r="X4" s="5">
        <f>IF($A4="","",SUMIFS('كريم بكر'!$D:$D,'كريم بكر'!$C:$C,$A4,'كريم بكر'!$F:$F,"&lt;&gt;")-SUMIFS('كريم بكر'!$D:$D,'كريم بكر'!$C:$C,$A4,'كريم بكر'!$G:$G,"&lt;&gt;",'كريم بكر'!$F:$F,""))</f>
        <v>0</v>
      </c>
      <c r="Y4" s="5">
        <f>IF($A4="","",SUMIFS(بفرا!$D:$D,بفرا!$C:$C,$A4,بفرا!$F:$F,"&lt;&gt;")-SUMIFS(بفرا!$D:$D,بفرا!$C:$C,$A4,بفرا!$G:$G,"&lt;&gt;",بفرا!$F:$F,""))</f>
        <v>0</v>
      </c>
      <c r="Z4" s="5">
        <f>IF($A4="","",SUMIFS('محل كوم النور'!$D:$D,'محل كوم النور'!$C:$C,$A4,'محل كوم النور'!$F:$F,"&lt;&gt;")-SUMIFS('محل كوم النور'!$D:$D,'محل كوم النور'!$C:$C,$A4,'محل كوم النور'!$G:$G,"&lt;&gt;",'محل كوم النور'!$F:$F,""))</f>
        <v>4</v>
      </c>
      <c r="AA4" s="5">
        <f>IF($A4="","",SUMIFS('محمد النجار'!$D:$D,'محمد النجار'!$C:$C,$A4,'محمد النجار'!$F:$F,"&lt;&gt;")-SUMIFS('محمد النجار'!$D:$D,'محمد النجار'!$C:$C,$A4,'محمد النجار'!$G:$G,"&lt;&gt;",'محمد النجار'!$F:$F,""))</f>
        <v>0</v>
      </c>
      <c r="AB4" s="5">
        <f>IF($A4="","",SUMIFS('محمود عبدالرسول'!$D:$D,'محمود عبدالرسول'!$C:$C,$A4,'محمود عبدالرسول'!$F:$F,"&lt;&gt;")-SUMIFS('محمود عبدالرسول'!$D:$D,'محمود عبدالرسول'!$C:$C,$A4,'محمود عبدالرسول'!$G:$G,"&lt;&gt;",'محمود عبدالرسول'!$F:$F,""))</f>
        <v>8</v>
      </c>
      <c r="AC4" s="5">
        <f>IF($A4="","",SUMIFS('مول المصطفي'!$D:$D,'مول المصطفي'!$C:$C,$A4,'مول المصطفي'!$F:$F,"&lt;&gt;")-SUMIFS('مول المصطفي'!$D:$D,'مول المصطفي'!$C:$C,$A4,'مول المصطفي'!$G:$G,"&lt;&gt;",'مول المصطفي'!$F:$F,""))</f>
        <v>0</v>
      </c>
      <c r="AD4" s="5">
        <f>IF($A4="","",SUMIFS(مصانع!$D:$D,مصانع!$C:$C,$A4,مصانع!$F:$F,"&lt;&gt;")-SUMIFS(مصانع!$D:$D,مصانع!$C:$C,$A4,مصانع!$G:$G,"&lt;&gt;",مصانع!$F:$F,""))</f>
        <v>0</v>
      </c>
      <c r="AE4" s="6">
        <f t="shared" si="0"/>
        <v>91</v>
      </c>
      <c r="AF4" s="7" t="s">
        <v>40</v>
      </c>
      <c r="AG4" s="8">
        <v>116</v>
      </c>
      <c r="AH4" s="9">
        <f t="shared" si="1"/>
        <v>25</v>
      </c>
      <c r="AI4" s="8">
        <v>370</v>
      </c>
      <c r="AJ4" s="6">
        <f t="shared" si="2"/>
        <v>9250</v>
      </c>
    </row>
    <row r="5" spans="1:36">
      <c r="A5" s="4" t="s">
        <v>41</v>
      </c>
      <c r="B5" s="5">
        <f>IF($A5="","",SUMIFS('4K حموده'!$D:$D,'4K حموده'!$C:$C,$A5,'4K حموده'!$F:$F,"&lt;&gt;")-SUMIFS('4K حموده'!$D:$D,'4K حموده'!$C:$C,$A5,'4K حموده'!$G:$G,"&lt;&gt;",'4K حموده'!$F:$F,""))</f>
        <v>0</v>
      </c>
      <c r="C5" s="5">
        <f>IF($A5="","",SUMIFS('مكتب القاضي'!$D:$D,'مكتب القاضي'!$C:$C,$A5,'مكتب القاضي'!$F:$F,"&lt;&gt;")-SUMIFS('مكتب القاضي'!$D:$D,'مكتب القاضي'!$C:$C,$A5,'مكتب القاضي'!$G:$G,"&lt;&gt;",'مكتب القاضي'!$F:$F,""))</f>
        <v>16</v>
      </c>
      <c r="D5" s="5">
        <f>IF($A5="","",SUMIFS(الاتشو!$D:$D,الاتشو!$C:$C,$A5,الاتشو!$F:$F,"&lt;&gt;")-SUMIFS(الاتشو!$D:$D,الاتشو!$C:$C,$A5,الاتشو!$G:$G,"&lt;&gt;",الاتشو!$F:$F,""))</f>
        <v>0</v>
      </c>
      <c r="E5" s="5">
        <f>IF($A5="","",SUMIFS('علاء بوم ارض النت'!$D:$D,'علاء بوم ارض النت'!$C:$C,$A5,'علاء بوم ارض النت'!$F:$F,"&lt;&gt;")-SUMIFS('علاء بوم ارض النت'!$D:$D,'علاء بوم ارض النت'!$C:$C,$A5,'علاء بوم ارض النت'!$G:$G,"&lt;&gt;",'علاء بوم ارض النت'!$F:$F,""))</f>
        <v>20</v>
      </c>
      <c r="F5" s="5">
        <f>IF($A5="","",SUMIFS('كيمو ميت ابو خالد'!$D:$D,'كيمو ميت ابو خالد'!$C:$C,$A5,'كيمو ميت ابو خالد'!$F:$F,"&lt;&gt;")-SUMIFS('كيمو ميت ابو خالد'!$D:$D,'كيمو ميت ابو خالد'!$C:$C,$A5,'كيمو ميت ابو خالد'!$G:$G,"&lt;&gt;",'كيمو ميت ابو خالد'!$F:$F,""))</f>
        <v>0</v>
      </c>
      <c r="G5" s="5">
        <f>IF($A5="","",SUMIFS(KAZO!$D:$D,KAZO!$C:$C,$A5,KAZO!$F:$F,"&lt;&gt;")-SUMIFS(KAZO!$D:$D,KAZO!$C:$C,$A5,KAZO!$G:$G,"&lt;&gt;",KAZO!$F:$F,""))</f>
        <v>8</v>
      </c>
      <c r="H5" s="5">
        <f>IF($A5="","",SUMIFS(LAFY!$D:$D,LAFY!$C:$C,$A5,LAFY!$F:$F,"&lt;&gt;")-SUMIFS(LAFY!$D:$D,LAFY!$C:$C,$A5,LAFY!$G:$G,"&lt;&gt;",LAFY!$F:$F,""))</f>
        <v>0</v>
      </c>
      <c r="I5" s="5">
        <f>IF($A5="","",SUMIFS('POINT زفتي (جديد)'!$D:$D,'POINT زفتي (جديد)'!$C:$C,$A5,'POINT زفتي (جديد)'!$F:$F,"&lt;&gt;")-SUMIFS('POINT زفتي (جديد)'!$D:$D,'POINT زفتي (جديد)'!$C:$C,$A5,'POINT زفتي (جديد)'!$G:$G,"&lt;&gt;",'POINT زفتي (جديد)'!$F:$F,""))</f>
        <v>0</v>
      </c>
      <c r="J5" s="5">
        <f>IF($A5="","",SUMIFS('POINT سعد زغلول (قديم)'!$D:$D,'POINT سعد زغلول (قديم)'!$C:$C,$A5,'POINT سعد زغلول (قديم)'!$F:$F,"&lt;&gt;")-SUMIFS('POINT سعد زغلول (قديم)'!$D:$D,'POINT سعد زغلول (قديم)'!$C:$C,$A5,'POINT سعد زغلول (قديم)'!$G:$G,"&lt;&gt;",'POINT سعد زغلول (قديم)'!$F:$F,""))</f>
        <v>0</v>
      </c>
      <c r="K5" s="5">
        <f>IF($A5="","",SUMIFS('POWER ارض النت'!$D:$D,'POWER ارض النت'!$C:$C,$A5,'POWER ارض النت'!$F:$F,"&lt;&gt;")-SUMIFS('POWER ارض النت'!$D:$D,'POWER ارض النت'!$C:$C,$A5,'POWER ارض النت'!$G:$G,"&lt;&gt;",'POWER ارض النت'!$F:$F,""))</f>
        <v>0</v>
      </c>
      <c r="L5" s="5">
        <f>IF($A5="","",SUMIFS('POWER زفتي'!$D:$D,'POWER زفتي'!$C:$C,$A5,'POWER زفتي'!$F:$F,"&lt;&gt;")-SUMIFS('POWER زفتي'!$D:$D,'POWER زفتي'!$C:$C,$A5,'POWER زفتي'!$G:$G,"&lt;&gt;",'POWER زفتي'!$F:$F,""))</f>
        <v>0</v>
      </c>
      <c r="M5" s="5">
        <f>IF($A5="","",SUMIFS('احمد المنوفي'!$D:$D,'احمد المنوفي'!$C:$C,$A5,'احمد المنوفي'!$F:$F,"&lt;&gt;")-SUMIFS('احمد المنوفي'!$D:$D,'احمد المنوفي'!$C:$C,$A5,'احمد المنوفي'!$G:$G,"&lt;&gt;",'احمد المنوفي'!$F:$F,""))</f>
        <v>0</v>
      </c>
      <c r="N5" s="5">
        <f>IF($A5="","",SUMIFS(السفير!$D:$D,السفير!$C:$C,$A5,السفير!$F:$F,"&lt;&gt;")-SUMIFS(السفير!$D:$D,السفير!$C:$C,$A5,السفير!$G:$G,"&lt;&gt;",السفير!$F:$F,""))</f>
        <v>0</v>
      </c>
      <c r="O5" s="5">
        <f>IF($A5="","",SUMIFS(العالمي!$D:$D,العالمي!$C:$C,$A5,العالمي!$F:$F,"&lt;&gt;")-SUMIFS(العالمي!$D:$D,العالمي!$C:$C,$A5,العالمي!$G:$G,"&lt;&gt;",العالمي!$F:$F,""))</f>
        <v>0</v>
      </c>
      <c r="P5" s="5">
        <f>IF($A5="","",SUMIFS('باهي التركي'!$D:$D,'باهي التركي'!$C:$C,$A5,'باهي التركي'!$F:$F,"&lt;&gt;")-SUMIFS('باهي التركي'!$D:$D,'باهي التركي'!$C:$C,$A5,'باهي التركي'!$G:$G,"&lt;&gt;",'باهي التركي'!$F:$F,""))</f>
        <v>16</v>
      </c>
      <c r="Q5" s="5">
        <f>IF($A5="","",SUMIFS('توتي دماص'!$D:$D,'توتي دماص'!$C:$C,$A5,'توتي دماص'!$F:$F,"&lt;&gt;")-SUMIFS('توتي دماص'!$D:$D,'توتي دماص'!$C:$C,$A5,'توتي دماص'!$G:$G,"&lt;&gt;",'توتي دماص'!$F:$F,""))</f>
        <v>0</v>
      </c>
      <c r="R5" s="5">
        <f>IF($A5="","",SUMIFS('رضا محمد'!$D:$D,'رضا محمد'!$C:$C,$A5,'رضا محمد'!$F:$F,"&lt;&gt;")-SUMIFS('رضا محمد'!$D:$D,'رضا محمد'!$C:$C,$A5,'رضا محمد'!$G:$G,"&lt;&gt;",'رضا محمد'!$F:$F,""))</f>
        <v>0</v>
      </c>
      <c r="S5" s="5">
        <f>IF($A5="","",SUMIFS('زومبي العشري'!$D:$D,'زومبي العشري'!$C:$C,$A5,'زومبي العشري'!$F:$F,"&lt;&gt;")-SUMIFS('زومبي العشري'!$D:$D,'زومبي العشري'!$C:$C,$A5,'زومبي العشري'!$G:$G,"&lt;&gt;",'زومبي العشري'!$F:$F,""))</f>
        <v>0</v>
      </c>
      <c r="T5" s="5">
        <f>IF($A5="","",SUMIFS('محمد عرابي'!$D:$D,'محمد عرابي'!$C:$C,$A5,'محمد عرابي'!$F:$F,"&lt;&gt;")-SUMIFS('محمد عرابي'!$D:$D,'محمد عرابي'!$C:$C,$A5,'محمد عرابي'!$G:$G,"&lt;&gt;",'محمد عرابي'!$F:$F,""))</f>
        <v>0</v>
      </c>
      <c r="U5" s="5">
        <f>IF($A5="","",SUMIFS('عم جمال'!$D:$D,'عم جمال'!$C:$C,$A5,'عم جمال'!$F:$F,"&lt;&gt;")-SUMIFS('عم جمال'!$D:$D,'عم جمال'!$C:$C,$A5,'عم جمال'!$G:$G,"&lt;&gt;",'عم جمال'!$F:$F,""))</f>
        <v>0</v>
      </c>
      <c r="V5" s="5">
        <f>IF($A5="","",SUMIFS('فاير سيليكت'!$D:$D,'فاير سيليكت'!$C:$C,$A5,'فاير سيليكت'!$F:$F,"&lt;&gt;")-SUMIFS('فاير سيليكت'!$D:$D,'فاير سيليكت'!$C:$C,$A5,'فاير سيليكت'!$G:$G,"&lt;&gt;",'فاير سيليكت'!$F:$F,""))</f>
        <v>0</v>
      </c>
      <c r="W5" s="5">
        <f>IF($A5="","",SUMIFS(فرانكو!$D:$D,فرانكو!$C:$C,$A5,فرانكو!$F:$F,"&lt;&gt;")-SUMIFS(فرانكو!$D:$D,فرانكو!$C:$C,$A5,فرانكو!$G:$G,"&lt;&gt;",فرانكو!$F:$F,""))</f>
        <v>0</v>
      </c>
      <c r="X5" s="5">
        <f>IF($A5="","",SUMIFS('كريم بكر'!$D:$D,'كريم بكر'!$C:$C,$A5,'كريم بكر'!$F:$F,"&lt;&gt;")-SUMIFS('كريم بكر'!$D:$D,'كريم بكر'!$C:$C,$A5,'كريم بكر'!$G:$G,"&lt;&gt;",'كريم بكر'!$F:$F,""))</f>
        <v>0</v>
      </c>
      <c r="Y5" s="5">
        <f>IF($A5="","",SUMIFS(بفرا!$D:$D,بفرا!$C:$C,$A5,بفرا!$F:$F,"&lt;&gt;")-SUMIFS(بفرا!$D:$D,بفرا!$C:$C,$A5,بفرا!$G:$G,"&lt;&gt;",بفرا!$F:$F,""))</f>
        <v>0</v>
      </c>
      <c r="Z5" s="5">
        <f>IF($A5="","",SUMIFS('محل كوم النور'!$D:$D,'محل كوم النور'!$C:$C,$A5,'محل كوم النور'!$F:$F,"&lt;&gt;")-SUMIFS('محل كوم النور'!$D:$D,'محل كوم النور'!$C:$C,$A5,'محل كوم النور'!$G:$G,"&lt;&gt;",'محل كوم النور'!$F:$F,""))</f>
        <v>0</v>
      </c>
      <c r="AA5" s="5">
        <f>IF($A5="","",SUMIFS('محمد النجار'!$D:$D,'محمد النجار'!$C:$C,$A5,'محمد النجار'!$F:$F,"&lt;&gt;")-SUMIFS('محمد النجار'!$D:$D,'محمد النجار'!$C:$C,$A5,'محمد النجار'!$G:$G,"&lt;&gt;",'محمد النجار'!$F:$F,""))</f>
        <v>0</v>
      </c>
      <c r="AB5" s="5">
        <f>IF($A5="","",SUMIFS('محمود عبدالرسول'!$D:$D,'محمود عبدالرسول'!$C:$C,$A5,'محمود عبدالرسول'!$F:$F,"&lt;&gt;")-SUMIFS('محمود عبدالرسول'!$D:$D,'محمود عبدالرسول'!$C:$C,$A5,'محمود عبدالرسول'!$G:$G,"&lt;&gt;",'محمود عبدالرسول'!$F:$F,""))</f>
        <v>8</v>
      </c>
      <c r="AC5" s="5">
        <f>IF($A5="","",SUMIFS('مول المصطفي'!$D:$D,'مول المصطفي'!$C:$C,$A5,'مول المصطفي'!$F:$F,"&lt;&gt;")-SUMIFS('مول المصطفي'!$D:$D,'مول المصطفي'!$C:$C,$A5,'مول المصطفي'!$G:$G,"&lt;&gt;",'مول المصطفي'!$F:$F,""))</f>
        <v>0</v>
      </c>
      <c r="AD5" s="5">
        <f>IF($A5="","",SUMIFS(مصانع!$D:$D,مصانع!$C:$C,$A5,مصانع!$F:$F,"&lt;&gt;")-SUMIFS(مصانع!$D:$D,مصانع!$C:$C,$A5,مصانع!$G:$G,"&lt;&gt;",مصانع!$F:$F,""))</f>
        <v>0</v>
      </c>
      <c r="AE5" s="6">
        <f t="shared" si="0"/>
        <v>68</v>
      </c>
      <c r="AF5" s="7" t="s">
        <v>42</v>
      </c>
      <c r="AG5" s="8">
        <v>138</v>
      </c>
      <c r="AH5" s="9">
        <f t="shared" si="1"/>
        <v>70</v>
      </c>
      <c r="AI5" s="8">
        <v>310</v>
      </c>
      <c r="AJ5" s="6">
        <f t="shared" si="2"/>
        <v>21700</v>
      </c>
    </row>
    <row r="6" spans="1:36">
      <c r="A6" s="4" t="s">
        <v>43</v>
      </c>
      <c r="B6" s="5">
        <f>IF($A6="","",SUMIFS('4K حموده'!$D:$D,'4K حموده'!$C:$C,$A6,'4K حموده'!$F:$F,"&lt;&gt;")-SUMIFS('4K حموده'!$D:$D,'4K حموده'!$C:$C,$A6,'4K حموده'!$G:$G,"&lt;&gt;",'4K حموده'!$F:$F,""))</f>
        <v>0</v>
      </c>
      <c r="C6" s="5">
        <f>IF($A6="","",SUMIFS('مكتب القاضي'!$D:$D,'مكتب القاضي'!$C:$C,$A6,'مكتب القاضي'!$F:$F,"&lt;&gt;")-SUMIFS('مكتب القاضي'!$D:$D,'مكتب القاضي'!$C:$C,$A6,'مكتب القاضي'!$G:$G,"&lt;&gt;",'مكتب القاضي'!$F:$F,""))</f>
        <v>8</v>
      </c>
      <c r="D6" s="5">
        <f>IF($A6="","",SUMIFS(الاتشو!$D:$D,الاتشو!$C:$C,$A6,الاتشو!$F:$F,"&lt;&gt;")-SUMIFS(الاتشو!$D:$D,الاتشو!$C:$C,$A6,الاتشو!$G:$G,"&lt;&gt;",الاتشو!$F:$F,""))</f>
        <v>0</v>
      </c>
      <c r="E6" s="5">
        <f>IF($A6="","",SUMIFS('علاء بوم ارض النت'!$D:$D,'علاء بوم ارض النت'!$C:$C,$A6,'علاء بوم ارض النت'!$F:$F,"&lt;&gt;")-SUMIFS('علاء بوم ارض النت'!$D:$D,'علاء بوم ارض النت'!$C:$C,$A6,'علاء بوم ارض النت'!$G:$G,"&lt;&gt;",'علاء بوم ارض النت'!$F:$F,""))</f>
        <v>59</v>
      </c>
      <c r="F6" s="5">
        <f>IF($A6="","",SUMIFS('كيمو ميت ابو خالد'!$D:$D,'كيمو ميت ابو خالد'!$C:$C,$A6,'كيمو ميت ابو خالد'!$F:$F,"&lt;&gt;")-SUMIFS('كيمو ميت ابو خالد'!$D:$D,'كيمو ميت ابو خالد'!$C:$C,$A6,'كيمو ميت ابو خالد'!$G:$G,"&lt;&gt;",'كيمو ميت ابو خالد'!$F:$F,""))</f>
        <v>0</v>
      </c>
      <c r="G6" s="5">
        <f>IF($A6="","",SUMIFS(KAZO!$D:$D,KAZO!$C:$C,$A6,KAZO!$F:$F,"&lt;&gt;")-SUMIFS(KAZO!$D:$D,KAZO!$C:$C,$A6,KAZO!$G:$G,"&lt;&gt;",KAZO!$F:$F,""))</f>
        <v>0</v>
      </c>
      <c r="H6" s="5">
        <f>IF($A6="","",SUMIFS(LAFY!$D:$D,LAFY!$C:$C,$A6,LAFY!$F:$F,"&lt;&gt;")-SUMIFS(LAFY!$D:$D,LAFY!$C:$C,$A6,LAFY!$G:$G,"&lt;&gt;",LAFY!$F:$F,""))</f>
        <v>0</v>
      </c>
      <c r="I6" s="5">
        <f>IF($A6="","",SUMIFS('POINT زفتي (جديد)'!$D:$D,'POINT زفتي (جديد)'!$C:$C,$A6,'POINT زفتي (جديد)'!$F:$F,"&lt;&gt;")-SUMIFS('POINT زفتي (جديد)'!$D:$D,'POINT زفتي (جديد)'!$C:$C,$A6,'POINT زفتي (جديد)'!$G:$G,"&lt;&gt;",'POINT زفتي (جديد)'!$F:$F,""))</f>
        <v>12</v>
      </c>
      <c r="J6" s="5">
        <f>IF($A6="","",SUMIFS('POINT سعد زغلول (قديم)'!$D:$D,'POINT سعد زغلول (قديم)'!$C:$C,$A6,'POINT سعد زغلول (قديم)'!$F:$F,"&lt;&gt;")-SUMIFS('POINT سعد زغلول (قديم)'!$D:$D,'POINT سعد زغلول (قديم)'!$C:$C,$A6,'POINT سعد زغلول (قديم)'!$G:$G,"&lt;&gt;",'POINT سعد زغلول (قديم)'!$F:$F,""))</f>
        <v>0</v>
      </c>
      <c r="K6" s="5">
        <f>IF($A6="","",SUMIFS('POWER ارض النت'!$D:$D,'POWER ارض النت'!$C:$C,$A6,'POWER ارض النت'!$F:$F,"&lt;&gt;")-SUMIFS('POWER ارض النت'!$D:$D,'POWER ارض النت'!$C:$C,$A6,'POWER ارض النت'!$G:$G,"&lt;&gt;",'POWER ارض النت'!$F:$F,""))</f>
        <v>0</v>
      </c>
      <c r="L6" s="5">
        <f>IF($A6="","",SUMIFS('POWER زفتي'!$D:$D,'POWER زفتي'!$C:$C,$A6,'POWER زفتي'!$F:$F,"&lt;&gt;")-SUMIFS('POWER زفتي'!$D:$D,'POWER زفتي'!$C:$C,$A6,'POWER زفتي'!$G:$G,"&lt;&gt;",'POWER زفتي'!$F:$F,""))</f>
        <v>12</v>
      </c>
      <c r="M6" s="5">
        <f>IF($A6="","",SUMIFS('احمد المنوفي'!$D:$D,'احمد المنوفي'!$C:$C,$A6,'احمد المنوفي'!$F:$F,"&lt;&gt;")-SUMIFS('احمد المنوفي'!$D:$D,'احمد المنوفي'!$C:$C,$A6,'احمد المنوفي'!$G:$G,"&lt;&gt;",'احمد المنوفي'!$F:$F,""))</f>
        <v>0</v>
      </c>
      <c r="N6" s="5">
        <f>IF($A6="","",SUMIFS(السفير!$D:$D,السفير!$C:$C,$A6,السفير!$F:$F,"&lt;&gt;")-SUMIFS(السفير!$D:$D,السفير!$C:$C,$A6,السفير!$G:$G,"&lt;&gt;",السفير!$F:$F,""))</f>
        <v>12</v>
      </c>
      <c r="O6" s="5">
        <f>IF($A6="","",SUMIFS(العالمي!$D:$D,العالمي!$C:$C,$A6,العالمي!$F:$F,"&lt;&gt;")-SUMIFS(العالمي!$D:$D,العالمي!$C:$C,$A6,العالمي!$G:$G,"&lt;&gt;",العالمي!$F:$F,""))</f>
        <v>0</v>
      </c>
      <c r="P6" s="5">
        <f>IF($A6="","",SUMIFS('باهي التركي'!$D:$D,'باهي التركي'!$C:$C,$A6,'باهي التركي'!$F:$F,"&lt;&gt;")-SUMIFS('باهي التركي'!$D:$D,'باهي التركي'!$C:$C,$A6,'باهي التركي'!$G:$G,"&lt;&gt;",'باهي التركي'!$F:$F,""))</f>
        <v>40</v>
      </c>
      <c r="Q6" s="5">
        <f>IF($A6="","",SUMIFS('توتي دماص'!$D:$D,'توتي دماص'!$C:$C,$A6,'توتي دماص'!$F:$F,"&lt;&gt;")-SUMIFS('توتي دماص'!$D:$D,'توتي دماص'!$C:$C,$A6,'توتي دماص'!$G:$G,"&lt;&gt;",'توتي دماص'!$F:$F,""))</f>
        <v>0</v>
      </c>
      <c r="R6" s="5">
        <f>IF($A6="","",SUMIFS('رضا محمد'!$D:$D,'رضا محمد'!$C:$C,$A6,'رضا محمد'!$F:$F,"&lt;&gt;")-SUMIFS('رضا محمد'!$D:$D,'رضا محمد'!$C:$C,$A6,'رضا محمد'!$G:$G,"&lt;&gt;",'رضا محمد'!$F:$F,""))</f>
        <v>3</v>
      </c>
      <c r="S6" s="5">
        <f>IF($A6="","",SUMIFS('زومبي العشري'!$D:$D,'زومبي العشري'!$C:$C,$A6,'زومبي العشري'!$F:$F,"&lt;&gt;")-SUMIFS('زومبي العشري'!$D:$D,'زومبي العشري'!$C:$C,$A6,'زومبي العشري'!$G:$G,"&lt;&gt;",'زومبي العشري'!$F:$F,""))</f>
        <v>0</v>
      </c>
      <c r="T6" s="5">
        <f>IF($A6="","",SUMIFS('محمد عرابي'!$D:$D,'محمد عرابي'!$C:$C,$A6,'محمد عرابي'!$F:$F,"&lt;&gt;")-SUMIFS('محمد عرابي'!$D:$D,'محمد عرابي'!$C:$C,$A6,'محمد عرابي'!$G:$G,"&lt;&gt;",'محمد عرابي'!$F:$F,""))</f>
        <v>0</v>
      </c>
      <c r="U6" s="5">
        <f>IF($A6="","",SUMIFS('عم جمال'!$D:$D,'عم جمال'!$C:$C,$A6,'عم جمال'!$F:$F,"&lt;&gt;")-SUMIFS('عم جمال'!$D:$D,'عم جمال'!$C:$C,$A6,'عم جمال'!$G:$G,"&lt;&gt;",'عم جمال'!$F:$F,""))</f>
        <v>0</v>
      </c>
      <c r="V6" s="5">
        <f>IF($A6="","",SUMIFS('فاير سيليكت'!$D:$D,'فاير سيليكت'!$C:$C,$A6,'فاير سيليكت'!$F:$F,"&lt;&gt;")-SUMIFS('فاير سيليكت'!$D:$D,'فاير سيليكت'!$C:$C,$A6,'فاير سيليكت'!$G:$G,"&lt;&gt;",'فاير سيليكت'!$F:$F,""))</f>
        <v>0</v>
      </c>
      <c r="W6" s="5">
        <f>IF($A6="","",SUMIFS(فرانكو!$D:$D,فرانكو!$C:$C,$A6,فرانكو!$F:$F,"&lt;&gt;")-SUMIFS(فرانكو!$D:$D,فرانكو!$C:$C,$A6,فرانكو!$G:$G,"&lt;&gt;",فرانكو!$F:$F,""))</f>
        <v>0</v>
      </c>
      <c r="X6" s="5">
        <f>IF($A6="","",SUMIFS('كريم بكر'!$D:$D,'كريم بكر'!$C:$C,$A6,'كريم بكر'!$F:$F,"&lt;&gt;")-SUMIFS('كريم بكر'!$D:$D,'كريم بكر'!$C:$C,$A6,'كريم بكر'!$G:$G,"&lt;&gt;",'كريم بكر'!$F:$F,""))</f>
        <v>0</v>
      </c>
      <c r="Y6" s="5">
        <f>IF($A6="","",SUMIFS(بفرا!$D:$D,بفرا!$C:$C,$A6,بفرا!$F:$F,"&lt;&gt;")-SUMIFS(بفرا!$D:$D,بفرا!$C:$C,$A6,بفرا!$G:$G,"&lt;&gt;",بفرا!$F:$F,""))</f>
        <v>0</v>
      </c>
      <c r="Z6" s="5">
        <f>IF($A6="","",SUMIFS('محل كوم النور'!$D:$D,'محل كوم النور'!$C:$C,$A6,'محل كوم النور'!$F:$F,"&lt;&gt;")-SUMIFS('محل كوم النور'!$D:$D,'محل كوم النور'!$C:$C,$A6,'محل كوم النور'!$G:$G,"&lt;&gt;",'محل كوم النور'!$F:$F,""))</f>
        <v>6</v>
      </c>
      <c r="AA6" s="5">
        <f>IF($A6="","",SUMIFS('محمد النجار'!$D:$D,'محمد النجار'!$C:$C,$A6,'محمد النجار'!$F:$F,"&lt;&gt;")-SUMIFS('محمد النجار'!$D:$D,'محمد النجار'!$C:$C,$A6,'محمد النجار'!$G:$G,"&lt;&gt;",'محمد النجار'!$F:$F,""))</f>
        <v>0</v>
      </c>
      <c r="AB6" s="5">
        <f>IF($A6="","",SUMIFS('محمود عبدالرسول'!$D:$D,'محمود عبدالرسول'!$C:$C,$A6,'محمود عبدالرسول'!$F:$F,"&lt;&gt;")-SUMIFS('محمود عبدالرسول'!$D:$D,'محمود عبدالرسول'!$C:$C,$A6,'محمود عبدالرسول'!$G:$G,"&lt;&gt;",'محمود عبدالرسول'!$F:$F,""))</f>
        <v>20</v>
      </c>
      <c r="AC6" s="5">
        <f>IF($A6="","",SUMIFS('مول المصطفي'!$D:$D,'مول المصطفي'!$C:$C,$A6,'مول المصطفي'!$F:$F,"&lt;&gt;")-SUMIFS('مول المصطفي'!$D:$D,'مول المصطفي'!$C:$C,$A6,'مول المصطفي'!$G:$G,"&lt;&gt;",'مول المصطفي'!$F:$F,""))</f>
        <v>16</v>
      </c>
      <c r="AD6" s="5">
        <f>IF($A6="","",SUMIFS(مصانع!$D:$D,مصانع!$C:$C,$A6,مصانع!$F:$F,"&lt;&gt;")-SUMIFS(مصانع!$D:$D,مصانع!$C:$C,$A6,مصانع!$G:$G,"&lt;&gt;",مصانع!$F:$F,""))</f>
        <v>1</v>
      </c>
      <c r="AE6" s="6">
        <f t="shared" si="0"/>
        <v>189</v>
      </c>
      <c r="AF6" s="7" t="s">
        <v>44</v>
      </c>
      <c r="AG6" s="8">
        <v>219</v>
      </c>
      <c r="AH6" s="9">
        <f t="shared" si="1"/>
        <v>30</v>
      </c>
      <c r="AI6" s="8">
        <v>420</v>
      </c>
      <c r="AJ6" s="6">
        <f t="shared" si="2"/>
        <v>12600</v>
      </c>
    </row>
    <row r="7" spans="1:36">
      <c r="A7" s="4" t="s">
        <v>77</v>
      </c>
      <c r="B7" s="5">
        <f>IF($A7="","",SUMIFS('4K حموده'!$D:$D,'4K حموده'!$C:$C,$A7,'4K حموده'!$F:$F,"&lt;&gt;")-SUMIFS('4K حموده'!$D:$D,'4K حموده'!$C:$C,$A7,'4K حموده'!$G:$G,"&lt;&gt;",'4K حموده'!$F:$F,""))</f>
        <v>0</v>
      </c>
      <c r="C7" s="5">
        <f>IF($A7="","",SUMIFS('مكتب القاضي'!$D:$D,'مكتب القاضي'!$C:$C,$A7,'مكتب القاضي'!$F:$F,"&lt;&gt;")-SUMIFS('مكتب القاضي'!$D:$D,'مكتب القاضي'!$C:$C,$A7,'مكتب القاضي'!$G:$G,"&lt;&gt;",'مكتب القاضي'!$F:$F,""))</f>
        <v>0</v>
      </c>
      <c r="D7" s="5">
        <f>IF($A7="","",SUMIFS(الاتشو!$D:$D,الاتشو!$C:$C,$A7,الاتشو!$F:$F,"&lt;&gt;")-SUMIFS(الاتشو!$D:$D,الاتشو!$C:$C,$A7,الاتشو!$G:$G,"&lt;&gt;",الاتشو!$F:$F,""))</f>
        <v>0</v>
      </c>
      <c r="E7" s="5">
        <f>IF($A7="","",SUMIFS('علاء بوم ارض النت'!$D:$D,'علاء بوم ارض النت'!$C:$C,$A7,'علاء بوم ارض النت'!$F:$F,"&lt;&gt;")-SUMIFS('علاء بوم ارض النت'!$D:$D,'علاء بوم ارض النت'!$C:$C,$A7,'علاء بوم ارض النت'!$G:$G,"&lt;&gt;",'علاء بوم ارض النت'!$F:$F,""))</f>
        <v>24</v>
      </c>
      <c r="F7" s="5">
        <f>IF($A7="","",SUMIFS('كيمو ميت ابو خالد'!$D:$D,'كيمو ميت ابو خالد'!$C:$C,$A7,'كيمو ميت ابو خالد'!$F:$F,"&lt;&gt;")-SUMIFS('كيمو ميت ابو خالد'!$D:$D,'كيمو ميت ابو خالد'!$C:$C,$A7,'كيمو ميت ابو خالد'!$G:$G,"&lt;&gt;",'كيمو ميت ابو خالد'!$F:$F,""))</f>
        <v>0</v>
      </c>
      <c r="G7" s="5">
        <f>IF($A7="","",SUMIFS(KAZO!$D:$D,KAZO!$C:$C,$A7,KAZO!$F:$F,"&lt;&gt;")-SUMIFS(KAZO!$D:$D,KAZO!$C:$C,$A7,KAZO!$G:$G,"&lt;&gt;",KAZO!$F:$F,""))</f>
        <v>0</v>
      </c>
      <c r="H7" s="5">
        <f>IF($A7="","",SUMIFS(LAFY!$D:$D,LAFY!$C:$C,$A7,LAFY!$F:$F,"&lt;&gt;")-SUMIFS(LAFY!$D:$D,LAFY!$C:$C,$A7,LAFY!$G:$G,"&lt;&gt;",LAFY!$F:$F,""))</f>
        <v>24</v>
      </c>
      <c r="I7" s="5">
        <f>IF($A7="","",SUMIFS('POINT زفتي (جديد)'!$D:$D,'POINT زفتي (جديد)'!$C:$C,$A7,'POINT زفتي (جديد)'!$F:$F,"&lt;&gt;")-SUMIFS('POINT زفتي (جديد)'!$D:$D,'POINT زفتي (جديد)'!$C:$C,$A7,'POINT زفتي (جديد)'!$G:$G,"&lt;&gt;",'POINT زفتي (جديد)'!$F:$F,""))</f>
        <v>0</v>
      </c>
      <c r="J7" s="5">
        <f>IF($A7="","",SUMIFS('POINT سعد زغلول (قديم)'!$D:$D,'POINT سعد زغلول (قديم)'!$C:$C,$A7,'POINT سعد زغلول (قديم)'!$F:$F,"&lt;&gt;")-SUMIFS('POINT سعد زغلول (قديم)'!$D:$D,'POINT سعد زغلول (قديم)'!$C:$C,$A7,'POINT سعد زغلول (قديم)'!$G:$G,"&lt;&gt;",'POINT سعد زغلول (قديم)'!$F:$F,""))</f>
        <v>0</v>
      </c>
      <c r="K7" s="5">
        <f>IF($A7="","",SUMIFS('POWER ارض النت'!$D:$D,'POWER ارض النت'!$C:$C,$A7,'POWER ارض النت'!$F:$F,"&lt;&gt;")-SUMIFS('POWER ارض النت'!$D:$D,'POWER ارض النت'!$C:$C,$A7,'POWER ارض النت'!$G:$G,"&lt;&gt;",'POWER ارض النت'!$F:$F,""))</f>
        <v>0</v>
      </c>
      <c r="L7" s="5">
        <f>IF($A7="","",SUMIFS('POWER زفتي'!$D:$D,'POWER زفتي'!$C:$C,$A7,'POWER زفتي'!$F:$F,"&lt;&gt;")-SUMIFS('POWER زفتي'!$D:$D,'POWER زفتي'!$C:$C,$A7,'POWER زفتي'!$G:$G,"&lt;&gt;",'POWER زفتي'!$F:$F,""))</f>
        <v>8</v>
      </c>
      <c r="M7" s="5">
        <f>IF($A7="","",SUMIFS('احمد المنوفي'!$D:$D,'احمد المنوفي'!$C:$C,$A7,'احمد المنوفي'!$F:$F,"&lt;&gt;")-SUMIFS('احمد المنوفي'!$D:$D,'احمد المنوفي'!$C:$C,$A7,'احمد المنوفي'!$G:$G,"&lt;&gt;",'احمد المنوفي'!$F:$F,""))</f>
        <v>0</v>
      </c>
      <c r="N7" s="5">
        <f>IF($A7="","",SUMIFS(السفير!$D:$D,السفير!$C:$C,$A7,السفير!$F:$F,"&lt;&gt;")-SUMIFS(السفير!$D:$D,السفير!$C:$C,$A7,السفير!$G:$G,"&lt;&gt;",السفير!$F:$F,""))</f>
        <v>0</v>
      </c>
      <c r="O7" s="5">
        <f>IF($A7="","",SUMIFS(العالمي!$D:$D,العالمي!$C:$C,$A7,العالمي!$F:$F,"&lt;&gt;")-SUMIFS(العالمي!$D:$D,العالمي!$C:$C,$A7,العالمي!$G:$G,"&lt;&gt;",العالمي!$F:$F,""))</f>
        <v>0</v>
      </c>
      <c r="P7" s="5">
        <f>IF($A7="","",SUMIFS('باهي التركي'!$D:$D,'باهي التركي'!$C:$C,$A7,'باهي التركي'!$F:$F,"&lt;&gt;")-SUMIFS('باهي التركي'!$D:$D,'باهي التركي'!$C:$C,$A7,'باهي التركي'!$G:$G,"&lt;&gt;",'باهي التركي'!$F:$F,""))</f>
        <v>0</v>
      </c>
      <c r="Q7" s="5">
        <f>IF($A7="","",SUMIFS('توتي دماص'!$D:$D,'توتي دماص'!$C:$C,$A7,'توتي دماص'!$F:$F,"&lt;&gt;")-SUMIFS('توتي دماص'!$D:$D,'توتي دماص'!$C:$C,$A7,'توتي دماص'!$G:$G,"&lt;&gt;",'توتي دماص'!$F:$F,""))</f>
        <v>0</v>
      </c>
      <c r="R7" s="5">
        <f>IF($A7="","",SUMIFS('رضا محمد'!$D:$D,'رضا محمد'!$C:$C,$A7,'رضا محمد'!$F:$F,"&lt;&gt;")-SUMIFS('رضا محمد'!$D:$D,'رضا محمد'!$C:$C,$A7,'رضا محمد'!$G:$G,"&lt;&gt;",'رضا محمد'!$F:$F,""))</f>
        <v>0</v>
      </c>
      <c r="S7" s="5">
        <f>IF($A7="","",SUMIFS('زومبي العشري'!$D:$D,'زومبي العشري'!$C:$C,$A7,'زومبي العشري'!$F:$F,"&lt;&gt;")-SUMIFS('زومبي العشري'!$D:$D,'زومبي العشري'!$C:$C,$A7,'زومبي العشري'!$G:$G,"&lt;&gt;",'زومبي العشري'!$F:$F,""))</f>
        <v>0</v>
      </c>
      <c r="T7" s="5">
        <f>IF($A7="","",SUMIFS('محمد عرابي'!$D:$D,'محمد عرابي'!$C:$C,$A7,'محمد عرابي'!$F:$F,"&lt;&gt;")-SUMIFS('محمد عرابي'!$D:$D,'محمد عرابي'!$C:$C,$A7,'محمد عرابي'!$G:$G,"&lt;&gt;",'محمد عرابي'!$F:$F,""))</f>
        <v>0</v>
      </c>
      <c r="U7" s="5">
        <f>IF($A7="","",SUMIFS('عم جمال'!$D:$D,'عم جمال'!$C:$C,$A7,'عم جمال'!$F:$F,"&lt;&gt;")-SUMIFS('عم جمال'!$D:$D,'عم جمال'!$C:$C,$A7,'عم جمال'!$G:$G,"&lt;&gt;",'عم جمال'!$F:$F,""))</f>
        <v>4</v>
      </c>
      <c r="V7" s="5">
        <f>IF($A7="","",SUMIFS('فاير سيليكت'!$D:$D,'فاير سيليكت'!$C:$C,$A7,'فاير سيليكت'!$F:$F,"&lt;&gt;")-SUMIFS('فاير سيليكت'!$D:$D,'فاير سيليكت'!$C:$C,$A7,'فاير سيليكت'!$G:$G,"&lt;&gt;",'فاير سيليكت'!$F:$F,""))</f>
        <v>0</v>
      </c>
      <c r="W7" s="5">
        <f>IF($A7="","",SUMIFS(فرانكو!$D:$D,فرانكو!$C:$C,$A7,فرانكو!$F:$F,"&lt;&gt;")-SUMIFS(فرانكو!$D:$D,فرانكو!$C:$C,$A7,فرانكو!$G:$G,"&lt;&gt;",فرانكو!$F:$F,""))</f>
        <v>0</v>
      </c>
      <c r="X7" s="5">
        <f>IF($A7="","",SUMIFS('كريم بكر'!$D:$D,'كريم بكر'!$C:$C,$A7,'كريم بكر'!$F:$F,"&lt;&gt;")-SUMIFS('كريم بكر'!$D:$D,'كريم بكر'!$C:$C,$A7,'كريم بكر'!$G:$G,"&lt;&gt;",'كريم بكر'!$F:$F,""))</f>
        <v>0</v>
      </c>
      <c r="Y7" s="5">
        <f>IF($A7="","",SUMIFS(بفرا!$D:$D,بفرا!$C:$C,$A7,بفرا!$F:$F,"&lt;&gt;")-SUMIFS(بفرا!$D:$D,بفرا!$C:$C,$A7,بفرا!$G:$G,"&lt;&gt;",بفرا!$F:$F,""))</f>
        <v>0</v>
      </c>
      <c r="Z7" s="5">
        <f>IF($A7="","",SUMIFS('محل كوم النور'!$D:$D,'محل كوم النور'!$C:$C,$A7,'محل كوم النور'!$F:$F,"&lt;&gt;")-SUMIFS('محل كوم النور'!$D:$D,'محل كوم النور'!$C:$C,$A7,'محل كوم النور'!$G:$G,"&lt;&gt;",'محل كوم النور'!$F:$F,""))</f>
        <v>0</v>
      </c>
      <c r="AA7" s="5">
        <f>IF($A7="","",SUMIFS('محمد النجار'!$D:$D,'محمد النجار'!$C:$C,$A7,'محمد النجار'!$F:$F,"&lt;&gt;")-SUMIFS('محمد النجار'!$D:$D,'محمد النجار'!$C:$C,$A7,'محمد النجار'!$G:$G,"&lt;&gt;",'محمد النجار'!$F:$F,""))</f>
        <v>0</v>
      </c>
      <c r="AB7" s="5">
        <f>IF($A7="","",SUMIFS('محمود عبدالرسول'!$D:$D,'محمود عبدالرسول'!$C:$C,$A7,'محمود عبدالرسول'!$F:$F,"&lt;&gt;")-SUMIFS('محمود عبدالرسول'!$D:$D,'محمود عبدالرسول'!$C:$C,$A7,'محمود عبدالرسول'!$G:$G,"&lt;&gt;",'محمود عبدالرسول'!$F:$F,""))</f>
        <v>0</v>
      </c>
      <c r="AC7" s="5">
        <f>IF($A7="","",SUMIFS('مول المصطفي'!$D:$D,'مول المصطفي'!$C:$C,$A7,'مول المصطفي'!$F:$F,"&lt;&gt;")-SUMIFS('مول المصطفي'!$D:$D,'مول المصطفي'!$C:$C,$A7,'مول المصطفي'!$G:$G,"&lt;&gt;",'مول المصطفي'!$F:$F,""))</f>
        <v>0</v>
      </c>
      <c r="AD7" s="5">
        <f>IF($A7="","",SUMIFS(مصانع!$D:$D,مصانع!$C:$C,$A7,مصانع!$F:$F,"&lt;&gt;")-SUMIFS(مصانع!$D:$D,مصانع!$C:$C,$A7,مصانع!$G:$G,"&lt;&gt;",مصانع!$F:$F,""))</f>
        <v>0</v>
      </c>
      <c r="AE7" s="6">
        <f>IF($A7="","",SUM(B7:AD7))</f>
        <v>60</v>
      </c>
      <c r="AF7" s="7" t="s">
        <v>78</v>
      </c>
      <c r="AG7" s="8">
        <v>60</v>
      </c>
      <c r="AH7" s="9">
        <f>IF(OR($A7="",AG7=""),"",AG7-AE7)</f>
        <v>0</v>
      </c>
      <c r="AI7" s="8">
        <v>365</v>
      </c>
      <c r="AJ7" s="6">
        <f>IF(OR($A7="",AH7=""),"",AH7*AI7)</f>
        <v>0</v>
      </c>
    </row>
    <row r="8" spans="1:36">
      <c r="A8" s="4" t="s">
        <v>63</v>
      </c>
      <c r="B8" s="5">
        <f>IF($A8="","",SUMIFS('4K حموده'!$D:$D,'4K حموده'!$C:$C,$A8,'4K حموده'!$F:$F,"&lt;&gt;")-SUMIFS('4K حموده'!$D:$D,'4K حموده'!$C:$C,$A8,'4K حموده'!$G:$G,"&lt;&gt;",'4K حموده'!$F:$F,""))</f>
        <v>4</v>
      </c>
      <c r="C8" s="5">
        <f>IF($A8="","",SUMIFS('مكتب القاضي'!$D:$D,'مكتب القاضي'!$C:$C,$A8,'مكتب القاضي'!$F:$F,"&lt;&gt;")-SUMIFS('مكتب القاضي'!$D:$D,'مكتب القاضي'!$C:$C,$A8,'مكتب القاضي'!$G:$G,"&lt;&gt;",'مكتب القاضي'!$F:$F,""))</f>
        <v>0</v>
      </c>
      <c r="D8" s="5">
        <f>IF($A8="","",SUMIFS(الاتشو!$D:$D,الاتشو!$C:$C,$A8,الاتشو!$F:$F,"&lt;&gt;")-SUMIFS(الاتشو!$D:$D,الاتشو!$C:$C,$A8,الاتشو!$G:$G,"&lt;&gt;",الاتشو!$F:$F,""))</f>
        <v>0</v>
      </c>
      <c r="E8" s="5">
        <f>IF($A8="","",SUMIFS('علاء بوم ارض النت'!$D:$D,'علاء بوم ارض النت'!$C:$C,$A8,'علاء بوم ارض النت'!$F:$F,"&lt;&gt;")-SUMIFS('علاء بوم ارض النت'!$D:$D,'علاء بوم ارض النت'!$C:$C,$A8,'علاء بوم ارض النت'!$G:$G,"&lt;&gt;",'علاء بوم ارض النت'!$F:$F,""))</f>
        <v>20</v>
      </c>
      <c r="F8" s="5">
        <f>IF($A8="","",SUMIFS('كيمو ميت ابو خالد'!$D:$D,'كيمو ميت ابو خالد'!$C:$C,$A8,'كيمو ميت ابو خالد'!$F:$F,"&lt;&gt;")-SUMIFS('كيمو ميت ابو خالد'!$D:$D,'كيمو ميت ابو خالد'!$C:$C,$A8,'كيمو ميت ابو خالد'!$G:$G,"&lt;&gt;",'كيمو ميت ابو خالد'!$F:$F,""))</f>
        <v>0</v>
      </c>
      <c r="G8" s="5">
        <f>IF($A8="","",SUMIFS(KAZO!$D:$D,KAZO!$C:$C,$A8,KAZO!$F:$F,"&lt;&gt;")-SUMIFS(KAZO!$D:$D,KAZO!$C:$C,$A8,KAZO!$G:$G,"&lt;&gt;",KAZO!$F:$F,""))</f>
        <v>0</v>
      </c>
      <c r="H8" s="5">
        <f>IF($A8="","",SUMIFS(LAFY!$D:$D,LAFY!$C:$C,$A8,LAFY!$F:$F,"&lt;&gt;")-SUMIFS(LAFY!$D:$D,LAFY!$C:$C,$A8,LAFY!$G:$G,"&lt;&gt;",LAFY!$F:$F,""))</f>
        <v>0</v>
      </c>
      <c r="I8" s="5">
        <f>IF($A8="","",SUMIFS('POINT زفتي (جديد)'!$D:$D,'POINT زفتي (جديد)'!$C:$C,$A8,'POINT زفتي (جديد)'!$F:$F,"&lt;&gt;")-SUMIFS('POINT زفتي (جديد)'!$D:$D,'POINT زفتي (جديد)'!$C:$C,$A8,'POINT زفتي (جديد)'!$G:$G,"&lt;&gt;",'POINT زفتي (جديد)'!$F:$F,""))</f>
        <v>0</v>
      </c>
      <c r="J8" s="5">
        <f>IF($A8="","",SUMIFS('POINT سعد زغلول (قديم)'!$D:$D,'POINT سعد زغلول (قديم)'!$C:$C,$A8,'POINT سعد زغلول (قديم)'!$F:$F,"&lt;&gt;")-SUMIFS('POINT سعد زغلول (قديم)'!$D:$D,'POINT سعد زغلول (قديم)'!$C:$C,$A8,'POINT سعد زغلول (قديم)'!$G:$G,"&lt;&gt;",'POINT سعد زغلول (قديم)'!$F:$F,""))</f>
        <v>0</v>
      </c>
      <c r="K8" s="5">
        <f>IF($A8="","",SUMIFS('POWER ارض النت'!$D:$D,'POWER ارض النت'!$C:$C,$A8,'POWER ارض النت'!$F:$F,"&lt;&gt;")-SUMIFS('POWER ارض النت'!$D:$D,'POWER ارض النت'!$C:$C,$A8,'POWER ارض النت'!$G:$G,"&lt;&gt;",'POWER ارض النت'!$F:$F,""))</f>
        <v>0</v>
      </c>
      <c r="L8" s="5">
        <f>IF($A8="","",SUMIFS('POWER زفتي'!$D:$D,'POWER زفتي'!$C:$C,$A8,'POWER زفتي'!$F:$F,"&lt;&gt;")-SUMIFS('POWER زفتي'!$D:$D,'POWER زفتي'!$C:$C,$A8,'POWER زفتي'!$G:$G,"&lt;&gt;",'POWER زفتي'!$F:$F,""))</f>
        <v>0</v>
      </c>
      <c r="M8" s="5">
        <f>IF($A8="","",SUMIFS('احمد المنوفي'!$D:$D,'احمد المنوفي'!$C:$C,$A8,'احمد المنوفي'!$F:$F,"&lt;&gt;")-SUMIFS('احمد المنوفي'!$D:$D,'احمد المنوفي'!$C:$C,$A8,'احمد المنوفي'!$G:$G,"&lt;&gt;",'احمد المنوفي'!$F:$F,""))</f>
        <v>16</v>
      </c>
      <c r="N8" s="5">
        <f>IF($A8="","",SUMIFS(السفير!$D:$D,السفير!$C:$C,$A8,السفير!$F:$F,"&lt;&gt;")-SUMIFS(السفير!$D:$D,السفير!$C:$C,$A8,السفير!$G:$G,"&lt;&gt;",السفير!$F:$F,""))</f>
        <v>0</v>
      </c>
      <c r="O8" s="5">
        <f>IF($A8="","",SUMIFS(العالمي!$D:$D,العالمي!$C:$C,$A8,العالمي!$F:$F,"&lt;&gt;")-SUMIFS(العالمي!$D:$D,العالمي!$C:$C,$A8,العالمي!$G:$G,"&lt;&gt;",العالمي!$F:$F,""))</f>
        <v>0</v>
      </c>
      <c r="P8" s="5">
        <f>IF($A8="","",SUMIFS('باهي التركي'!$D:$D,'باهي التركي'!$C:$C,$A8,'باهي التركي'!$F:$F,"&lt;&gt;")-SUMIFS('باهي التركي'!$D:$D,'باهي التركي'!$C:$C,$A8,'باهي التركي'!$G:$G,"&lt;&gt;",'باهي التركي'!$F:$F,""))</f>
        <v>0</v>
      </c>
      <c r="Q8" s="5">
        <f>IF($A8="","",SUMIFS('توتي دماص'!$D:$D,'توتي دماص'!$C:$C,$A8,'توتي دماص'!$F:$F,"&lt;&gt;")-SUMIFS('توتي دماص'!$D:$D,'توتي دماص'!$C:$C,$A8,'توتي دماص'!$G:$G,"&lt;&gt;",'توتي دماص'!$F:$F,""))</f>
        <v>0</v>
      </c>
      <c r="R8" s="5">
        <f>IF($A8="","",SUMIFS('رضا محمد'!$D:$D,'رضا محمد'!$C:$C,$A8,'رضا محمد'!$F:$F,"&lt;&gt;")-SUMIFS('رضا محمد'!$D:$D,'رضا محمد'!$C:$C,$A8,'رضا محمد'!$G:$G,"&lt;&gt;",'رضا محمد'!$F:$F,""))</f>
        <v>0</v>
      </c>
      <c r="S8" s="5">
        <f>IF($A8="","",SUMIFS('زومبي العشري'!$D:$D,'زومبي العشري'!$C:$C,$A8,'زومبي العشري'!$F:$F,"&lt;&gt;")-SUMIFS('زومبي العشري'!$D:$D,'زومبي العشري'!$C:$C,$A8,'زومبي العشري'!$G:$G,"&lt;&gt;",'زومبي العشري'!$F:$F,""))</f>
        <v>0</v>
      </c>
      <c r="T8" s="5">
        <f>IF($A8="","",SUMIFS('محمد عرابي'!$D:$D,'محمد عرابي'!$C:$C,$A8,'محمد عرابي'!$F:$F,"&lt;&gt;")-SUMIFS('محمد عرابي'!$D:$D,'محمد عرابي'!$C:$C,$A8,'محمد عرابي'!$G:$G,"&lt;&gt;",'محمد عرابي'!$F:$F,""))</f>
        <v>0</v>
      </c>
      <c r="U8" s="5">
        <f>IF($A8="","",SUMIFS('عم جمال'!$D:$D,'عم جمال'!$C:$C,$A8,'عم جمال'!$F:$F,"&lt;&gt;")-SUMIFS('عم جمال'!$D:$D,'عم جمال'!$C:$C,$A8,'عم جمال'!$G:$G,"&lt;&gt;",'عم جمال'!$F:$F,""))</f>
        <v>0</v>
      </c>
      <c r="V8" s="5">
        <f>IF($A8="","",SUMIFS('فاير سيليكت'!$D:$D,'فاير سيليكت'!$C:$C,$A8,'فاير سيليكت'!$F:$F,"&lt;&gt;")-SUMIFS('فاير سيليكت'!$D:$D,'فاير سيليكت'!$C:$C,$A8,'فاير سيليكت'!$G:$G,"&lt;&gt;",'فاير سيليكت'!$F:$F,""))</f>
        <v>0</v>
      </c>
      <c r="W8" s="5">
        <f>IF($A8="","",SUMIFS(فرانكو!$D:$D,فرانكو!$C:$C,$A8,فرانكو!$F:$F,"&lt;&gt;")-SUMIFS(فرانكو!$D:$D,فرانكو!$C:$C,$A8,فرانكو!$G:$G,"&lt;&gt;",فرانكو!$F:$F,""))</f>
        <v>0</v>
      </c>
      <c r="X8" s="5">
        <f>IF($A8="","",SUMIFS('كريم بكر'!$D:$D,'كريم بكر'!$C:$C,$A8,'كريم بكر'!$F:$F,"&lt;&gt;")-SUMIFS('كريم بكر'!$D:$D,'كريم بكر'!$C:$C,$A8,'كريم بكر'!$G:$G,"&lt;&gt;",'كريم بكر'!$F:$F,""))</f>
        <v>0</v>
      </c>
      <c r="Y8" s="5">
        <f>IF($A8="","",SUMIFS(بفرا!$D:$D,بفرا!$C:$C,$A8,بفرا!$F:$F,"&lt;&gt;")-SUMIFS(بفرا!$D:$D,بفرا!$C:$C,$A8,بفرا!$G:$G,"&lt;&gt;",بفرا!$F:$F,""))</f>
        <v>0</v>
      </c>
      <c r="Z8" s="5">
        <f>IF($A8="","",SUMIFS('محل كوم النور'!$D:$D,'محل كوم النور'!$C:$C,$A8,'محل كوم النور'!$F:$F,"&lt;&gt;")-SUMIFS('محل كوم النور'!$D:$D,'محل كوم النور'!$C:$C,$A8,'محل كوم النور'!$G:$G,"&lt;&gt;",'محل كوم النور'!$F:$F,""))</f>
        <v>0</v>
      </c>
      <c r="AA8" s="5">
        <f>IF($A8="","",SUMIFS('محمد النجار'!$D:$D,'محمد النجار'!$C:$C,$A8,'محمد النجار'!$F:$F,"&lt;&gt;")-SUMIFS('محمد النجار'!$D:$D,'محمد النجار'!$C:$C,$A8,'محمد النجار'!$G:$G,"&lt;&gt;",'محمد النجار'!$F:$F,""))</f>
        <v>0</v>
      </c>
      <c r="AB8" s="5">
        <f>IF($A8="","",SUMIFS('محمود عبدالرسول'!$D:$D,'محمود عبدالرسول'!$C:$C,$A8,'محمود عبدالرسول'!$F:$F,"&lt;&gt;")-SUMIFS('محمود عبدالرسول'!$D:$D,'محمود عبدالرسول'!$C:$C,$A8,'محمود عبدالرسول'!$G:$G,"&lt;&gt;",'محمود عبدالرسول'!$F:$F,""))</f>
        <v>0</v>
      </c>
      <c r="AC8" s="5">
        <f>IF($A8="","",SUMIFS('مول المصطفي'!$D:$D,'مول المصطفي'!$C:$C,$A8,'مول المصطفي'!$F:$F,"&lt;&gt;")-SUMIFS('مول المصطفي'!$D:$D,'مول المصطفي'!$C:$C,$A8,'مول المصطفي'!$G:$G,"&lt;&gt;",'مول المصطفي'!$F:$F,""))</f>
        <v>0</v>
      </c>
      <c r="AD8" s="5">
        <f>IF($A8="","",SUMIFS(مصانع!$D:$D,مصانع!$C:$C,$A8,مصانع!$F:$F,"&lt;&gt;")-SUMIFS(مصانع!$D:$D,مصانع!$C:$C,$A8,مصانع!$G:$G,"&lt;&gt;",مصانع!$F:$F,""))</f>
        <v>0</v>
      </c>
      <c r="AE8" s="6">
        <f>IF($A8="","",SUM(B8:AD8))</f>
        <v>40</v>
      </c>
      <c r="AF8" s="7" t="s">
        <v>64</v>
      </c>
      <c r="AG8" s="8">
        <v>92</v>
      </c>
      <c r="AH8" s="9">
        <f>IF(OR($A8="",AG8=""),"",AG8-AE8)</f>
        <v>52</v>
      </c>
      <c r="AI8" s="8">
        <v>350</v>
      </c>
      <c r="AJ8" s="6">
        <f>IF(OR($A8="",AH8=""),"",AH8*AI8)</f>
        <v>18200</v>
      </c>
    </row>
    <row r="9" spans="1:36">
      <c r="A9" s="4" t="s">
        <v>85</v>
      </c>
      <c r="B9" s="5">
        <f>IF($A9="","",SUMIFS('4K حموده'!$D:$D,'4K حموده'!$C:$C,$A9,'4K حموده'!$F:$F,"&lt;&gt;")-SUMIFS('4K حموده'!$D:$D,'4K حموده'!$C:$C,$A9,'4K حموده'!$G:$G,"&lt;&gt;",'4K حموده'!$F:$F,""))</f>
        <v>8</v>
      </c>
      <c r="C9" s="5">
        <f>IF($A9="","",SUMIFS('مكتب القاضي'!$D:$D,'مكتب القاضي'!$C:$C,$A9,'مكتب القاضي'!$F:$F,"&lt;&gt;")-SUMIFS('مكتب القاضي'!$D:$D,'مكتب القاضي'!$C:$C,$A9,'مكتب القاضي'!$G:$G,"&lt;&gt;",'مكتب القاضي'!$F:$F,""))</f>
        <v>0</v>
      </c>
      <c r="D9" s="5">
        <f>IF($A9="","",SUMIFS(الاتشو!$D:$D,الاتشو!$C:$C,$A9,الاتشو!$F:$F,"&lt;&gt;")-SUMIFS(الاتشو!$D:$D,الاتشو!$C:$C,$A9,الاتشو!$G:$G,"&lt;&gt;",الاتشو!$F:$F,""))</f>
        <v>0</v>
      </c>
      <c r="E9" s="5">
        <f>IF($A9="","",SUMIFS('علاء بوم ارض النت'!$D:$D,'علاء بوم ارض النت'!$C:$C,$A9,'علاء بوم ارض النت'!$F:$F,"&lt;&gt;")-SUMIFS('علاء بوم ارض النت'!$D:$D,'علاء بوم ارض النت'!$C:$C,$A9,'علاء بوم ارض النت'!$G:$G,"&lt;&gt;",'علاء بوم ارض النت'!$F:$F,""))</f>
        <v>24</v>
      </c>
      <c r="F9" s="5">
        <f>IF($A9="","",SUMIFS('كيمو ميت ابو خالد'!$D:$D,'كيمو ميت ابو خالد'!$C:$C,$A9,'كيمو ميت ابو خالد'!$F:$F,"&lt;&gt;")-SUMIFS('كيمو ميت ابو خالد'!$D:$D,'كيمو ميت ابو خالد'!$C:$C,$A9,'كيمو ميت ابو خالد'!$G:$G,"&lt;&gt;",'كيمو ميت ابو خالد'!$F:$F,""))</f>
        <v>0</v>
      </c>
      <c r="G9" s="5">
        <f>IF($A9="","",SUMIFS(KAZO!$D:$D,KAZO!$C:$C,$A9,KAZO!$F:$F,"&lt;&gt;")-SUMIFS(KAZO!$D:$D,KAZO!$C:$C,$A9,KAZO!$G:$G,"&lt;&gt;",KAZO!$F:$F,""))</f>
        <v>0</v>
      </c>
      <c r="H9" s="5">
        <f>IF($A9="","",SUMIFS(LAFY!$D:$D,LAFY!$C:$C,$A9,LAFY!$F:$F,"&lt;&gt;")-SUMIFS(LAFY!$D:$D,LAFY!$C:$C,$A9,LAFY!$G:$G,"&lt;&gt;",LAFY!$F:$F,""))</f>
        <v>36</v>
      </c>
      <c r="I9" s="5">
        <f>IF($A9="","",SUMIFS('POINT زفتي (جديد)'!$D:$D,'POINT زفتي (جديد)'!$C:$C,$A9,'POINT زفتي (جديد)'!$F:$F,"&lt;&gt;")-SUMIFS('POINT زفتي (جديد)'!$D:$D,'POINT زفتي (جديد)'!$C:$C,$A9,'POINT زفتي (جديد)'!$G:$G,"&lt;&gt;",'POINT زفتي (جديد)'!$F:$F,""))</f>
        <v>0</v>
      </c>
      <c r="J9" s="5">
        <f>IF($A9="","",SUMIFS('POINT سعد زغلول (قديم)'!$D:$D,'POINT سعد زغلول (قديم)'!$C:$C,$A9,'POINT سعد زغلول (قديم)'!$F:$F,"&lt;&gt;")-SUMIFS('POINT سعد زغلول (قديم)'!$D:$D,'POINT سعد زغلول (قديم)'!$C:$C,$A9,'POINT سعد زغلول (قديم)'!$G:$G,"&lt;&gt;",'POINT سعد زغلول (قديم)'!$F:$F,""))</f>
        <v>0</v>
      </c>
      <c r="K9" s="5">
        <f>IF($A9="","",SUMIFS('POWER ارض النت'!$D:$D,'POWER ارض النت'!$C:$C,$A9,'POWER ارض النت'!$F:$F,"&lt;&gt;")-SUMIFS('POWER ارض النت'!$D:$D,'POWER ارض النت'!$C:$C,$A9,'POWER ارض النت'!$G:$G,"&lt;&gt;",'POWER ارض النت'!$F:$F,""))</f>
        <v>0</v>
      </c>
      <c r="L9" s="5">
        <f>IF($A9="","",SUMIFS('POWER زفتي'!$D:$D,'POWER زفتي'!$C:$C,$A9,'POWER زفتي'!$F:$F,"&lt;&gt;")-SUMIFS('POWER زفتي'!$D:$D,'POWER زفتي'!$C:$C,$A9,'POWER زفتي'!$G:$G,"&lt;&gt;",'POWER زفتي'!$F:$F,""))</f>
        <v>0</v>
      </c>
      <c r="M9" s="5">
        <f>IF($A9="","",SUMIFS('احمد المنوفي'!$D:$D,'احمد المنوفي'!$C:$C,$A9,'احمد المنوفي'!$F:$F,"&lt;&gt;")-SUMIFS('احمد المنوفي'!$D:$D,'احمد المنوفي'!$C:$C,$A9,'احمد المنوفي'!$G:$G,"&lt;&gt;",'احمد المنوفي'!$F:$F,""))</f>
        <v>0</v>
      </c>
      <c r="N9" s="5">
        <f>IF($A9="","",SUMIFS(السفير!$D:$D,السفير!$C:$C,$A9,السفير!$F:$F,"&lt;&gt;")-SUMIFS(السفير!$D:$D,السفير!$C:$C,$A9,السفير!$G:$G,"&lt;&gt;",السفير!$F:$F,""))</f>
        <v>0</v>
      </c>
      <c r="O9" s="5">
        <f>IF($A9="","",SUMIFS(العالمي!$D:$D,العالمي!$C:$C,$A9,العالمي!$F:$F,"&lt;&gt;")-SUMIFS(العالمي!$D:$D,العالمي!$C:$C,$A9,العالمي!$G:$G,"&lt;&gt;",العالمي!$F:$F,""))</f>
        <v>0</v>
      </c>
      <c r="P9" s="5">
        <f>IF($A9="","",SUMIFS('باهي التركي'!$D:$D,'باهي التركي'!$C:$C,$A9,'باهي التركي'!$F:$F,"&lt;&gt;")-SUMIFS('باهي التركي'!$D:$D,'باهي التركي'!$C:$C,$A9,'باهي التركي'!$G:$G,"&lt;&gt;",'باهي التركي'!$F:$F,""))</f>
        <v>0</v>
      </c>
      <c r="Q9" s="5">
        <f>IF($A9="","",SUMIFS('توتي دماص'!$D:$D,'توتي دماص'!$C:$C,$A9,'توتي دماص'!$F:$F,"&lt;&gt;")-SUMIFS('توتي دماص'!$D:$D,'توتي دماص'!$C:$C,$A9,'توتي دماص'!$G:$G,"&lt;&gt;",'توتي دماص'!$F:$F,""))</f>
        <v>0</v>
      </c>
      <c r="R9" s="5">
        <f>IF($A9="","",SUMIFS('رضا محمد'!$D:$D,'رضا محمد'!$C:$C,$A9,'رضا محمد'!$F:$F,"&lt;&gt;")-SUMIFS('رضا محمد'!$D:$D,'رضا محمد'!$C:$C,$A9,'رضا محمد'!$G:$G,"&lt;&gt;",'رضا محمد'!$F:$F,""))</f>
        <v>0</v>
      </c>
      <c r="S9" s="5">
        <f>IF($A9="","",SUMIFS('زومبي العشري'!$D:$D,'زومبي العشري'!$C:$C,$A9,'زومبي العشري'!$F:$F,"&lt;&gt;")-SUMIFS('زومبي العشري'!$D:$D,'زومبي العشري'!$C:$C,$A9,'زومبي العشري'!$G:$G,"&lt;&gt;",'زومبي العشري'!$F:$F,""))</f>
        <v>0</v>
      </c>
      <c r="T9" s="5">
        <f>IF($A9="","",SUMIFS('محمد عرابي'!$D:$D,'محمد عرابي'!$C:$C,$A9,'محمد عرابي'!$F:$F,"&lt;&gt;")-SUMIFS('محمد عرابي'!$D:$D,'محمد عرابي'!$C:$C,$A9,'محمد عرابي'!$G:$G,"&lt;&gt;",'محمد عرابي'!$F:$F,""))</f>
        <v>1</v>
      </c>
      <c r="U9" s="5">
        <f>IF($A9="","",SUMIFS('عم جمال'!$D:$D,'عم جمال'!$C:$C,$A9,'عم جمال'!$F:$F,"&lt;&gt;")-SUMIFS('عم جمال'!$D:$D,'عم جمال'!$C:$C,$A9,'عم جمال'!$G:$G,"&lt;&gt;",'عم جمال'!$F:$F,""))</f>
        <v>0</v>
      </c>
      <c r="V9" s="5">
        <f>IF($A9="","",SUMIFS('فاير سيليكت'!$D:$D,'فاير سيليكت'!$C:$C,$A9,'فاير سيليكت'!$F:$F,"&lt;&gt;")-SUMIFS('فاير سيليكت'!$D:$D,'فاير سيليكت'!$C:$C,$A9,'فاير سيليكت'!$G:$G,"&lt;&gt;",'فاير سيليكت'!$F:$F,""))</f>
        <v>0</v>
      </c>
      <c r="W9" s="5">
        <f>IF($A9="","",SUMIFS(فرانكو!$D:$D,فرانكو!$C:$C,$A9,فرانكو!$F:$F,"&lt;&gt;")-SUMIFS(فرانكو!$D:$D,فرانكو!$C:$C,$A9,فرانكو!$G:$G,"&lt;&gt;",فرانكو!$F:$F,""))</f>
        <v>0</v>
      </c>
      <c r="X9" s="5">
        <f>IF($A9="","",SUMIFS('كريم بكر'!$D:$D,'كريم بكر'!$C:$C,$A9,'كريم بكر'!$F:$F,"&lt;&gt;")-SUMIFS('كريم بكر'!$D:$D,'كريم بكر'!$C:$C,$A9,'كريم بكر'!$G:$G,"&lt;&gt;",'كريم بكر'!$F:$F,""))</f>
        <v>0</v>
      </c>
      <c r="Y9" s="5">
        <f>IF($A9="","",SUMIFS(بفرا!$D:$D,بفرا!$C:$C,$A9,بفرا!$F:$F,"&lt;&gt;")-SUMIFS(بفرا!$D:$D,بفرا!$C:$C,$A9,بفرا!$G:$G,"&lt;&gt;",بفرا!$F:$F,""))</f>
        <v>0</v>
      </c>
      <c r="Z9" s="5">
        <f>IF($A9="","",SUMIFS('محل كوم النور'!$D:$D,'محل كوم النور'!$C:$C,$A9,'محل كوم النور'!$F:$F,"&lt;&gt;")-SUMIFS('محل كوم النور'!$D:$D,'محل كوم النور'!$C:$C,$A9,'محل كوم النور'!$G:$G,"&lt;&gt;",'محل كوم النور'!$F:$F,""))</f>
        <v>0</v>
      </c>
      <c r="AA9" s="5">
        <f>IF($A9="","",SUMIFS('محمد النجار'!$D:$D,'محمد النجار'!$C:$C,$A9,'محمد النجار'!$F:$F,"&lt;&gt;")-SUMIFS('محمد النجار'!$D:$D,'محمد النجار'!$C:$C,$A9,'محمد النجار'!$G:$G,"&lt;&gt;",'محمد النجار'!$F:$F,""))</f>
        <v>0</v>
      </c>
      <c r="AB9" s="5">
        <f>IF($A9="","",SUMIFS('محمود عبدالرسول'!$D:$D,'محمود عبدالرسول'!$C:$C,$A9,'محمود عبدالرسول'!$F:$F,"&lt;&gt;")-SUMIFS('محمود عبدالرسول'!$D:$D,'محمود عبدالرسول'!$C:$C,$A9,'محمود عبدالرسول'!$G:$G,"&lt;&gt;",'محمود عبدالرسول'!$F:$F,""))</f>
        <v>0</v>
      </c>
      <c r="AC9" s="5">
        <f>IF($A9="","",SUMIFS('مول المصطفي'!$D:$D,'مول المصطفي'!$C:$C,$A9,'مول المصطفي'!$F:$F,"&lt;&gt;")-SUMIFS('مول المصطفي'!$D:$D,'مول المصطفي'!$C:$C,$A9,'مول المصطفي'!$G:$G,"&lt;&gt;",'مول المصطفي'!$F:$F,""))</f>
        <v>0</v>
      </c>
      <c r="AD9" s="5">
        <f>IF($A9="","",SUMIFS(مصانع!$D:$D,مصانع!$C:$C,$A9,مصانع!$F:$F,"&lt;&gt;")-SUMIFS(مصانع!$D:$D,مصانع!$C:$C,$A9,مصانع!$G:$G,"&lt;&gt;",مصانع!$F:$F,""))</f>
        <v>0</v>
      </c>
      <c r="AE9" s="6">
        <f>IF($A9="","",SUM(B9:AD9))</f>
        <v>69</v>
      </c>
      <c r="AF9" s="18" t="s">
        <v>347</v>
      </c>
      <c r="AG9" s="8">
        <v>116</v>
      </c>
      <c r="AH9" s="9">
        <f>IF(OR($A9="",AG9=""),"",AG9-AE9)</f>
        <v>47</v>
      </c>
      <c r="AI9" s="8">
        <v>390</v>
      </c>
      <c r="AJ9" s="6">
        <f>IF(OR($A9="",AH9=""),"",AH9*AI9)</f>
        <v>18330</v>
      </c>
    </row>
    <row r="10" spans="1:36">
      <c r="A10" s="4" t="s">
        <v>61</v>
      </c>
      <c r="B10" s="5">
        <f>IF($A10="","",SUMIFS('4K حموده'!$D:$D,'4K حموده'!$C:$C,$A10,'4K حموده'!$F:$F,"&lt;&gt;")-SUMIFS('4K حموده'!$D:$D,'4K حموده'!$C:$C,$A10,'4K حموده'!$G:$G,"&lt;&gt;",'4K حموده'!$F:$F,""))</f>
        <v>12</v>
      </c>
      <c r="C10" s="5">
        <f>IF($A10="","",SUMIFS('مكتب القاضي'!$D:$D,'مكتب القاضي'!$C:$C,$A10,'مكتب القاضي'!$F:$F,"&lt;&gt;")-SUMIFS('مكتب القاضي'!$D:$D,'مكتب القاضي'!$C:$C,$A10,'مكتب القاضي'!$G:$G,"&lt;&gt;",'مكتب القاضي'!$F:$F,""))</f>
        <v>0</v>
      </c>
      <c r="D10" s="5">
        <f>IF($A10="","",SUMIFS(الاتشو!$D:$D,الاتشو!$C:$C,$A10,الاتشو!$F:$F,"&lt;&gt;")-SUMIFS(الاتشو!$D:$D,الاتشو!$C:$C,$A10,الاتشو!$G:$G,"&lt;&gt;",الاتشو!$F:$F,""))</f>
        <v>0</v>
      </c>
      <c r="E10" s="5">
        <f>IF($A10="","",SUMIFS('علاء بوم ارض النت'!$D:$D,'علاء بوم ارض النت'!$C:$C,$A10,'علاء بوم ارض النت'!$F:$F,"&lt;&gt;")-SUMIFS('علاء بوم ارض النت'!$D:$D,'علاء بوم ارض النت'!$C:$C,$A10,'علاء بوم ارض النت'!$G:$G,"&lt;&gt;",'علاء بوم ارض النت'!$F:$F,""))</f>
        <v>23</v>
      </c>
      <c r="F10" s="5">
        <f>IF($A10="","",SUMIFS('كيمو ميت ابو خالد'!$D:$D,'كيمو ميت ابو خالد'!$C:$C,$A10,'كيمو ميت ابو خالد'!$F:$F,"&lt;&gt;")-SUMIFS('كيمو ميت ابو خالد'!$D:$D,'كيمو ميت ابو خالد'!$C:$C,$A10,'كيمو ميت ابو خالد'!$G:$G,"&lt;&gt;",'كيمو ميت ابو خالد'!$F:$F,""))</f>
        <v>0</v>
      </c>
      <c r="G10" s="5">
        <f>IF($A10="","",SUMIFS(KAZO!$D:$D,KAZO!$C:$C,$A10,KAZO!$F:$F,"&lt;&gt;")-SUMIFS(KAZO!$D:$D,KAZO!$C:$C,$A10,KAZO!$G:$G,"&lt;&gt;",KAZO!$F:$F,""))</f>
        <v>0</v>
      </c>
      <c r="H10" s="5">
        <f>IF($A10="","",SUMIFS(LAFY!$D:$D,LAFY!$C:$C,$A10,LAFY!$F:$F,"&lt;&gt;")-SUMIFS(LAFY!$D:$D,LAFY!$C:$C,$A10,LAFY!$G:$G,"&lt;&gt;",LAFY!$F:$F,""))</f>
        <v>36</v>
      </c>
      <c r="I10" s="5">
        <f>IF($A10="","",SUMIFS('POINT زفتي (جديد)'!$D:$D,'POINT زفتي (جديد)'!$C:$C,$A10,'POINT زفتي (جديد)'!$F:$F,"&lt;&gt;")-SUMIFS('POINT زفتي (جديد)'!$D:$D,'POINT زفتي (جديد)'!$C:$C,$A10,'POINT زفتي (جديد)'!$G:$G,"&lt;&gt;",'POINT زفتي (جديد)'!$F:$F,""))</f>
        <v>12</v>
      </c>
      <c r="J10" s="5">
        <f>IF($A10="","",SUMIFS('POINT سعد زغلول (قديم)'!$D:$D,'POINT سعد زغلول (قديم)'!$C:$C,$A10,'POINT سعد زغلول (قديم)'!$F:$F,"&lt;&gt;")-SUMIFS('POINT سعد زغلول (قديم)'!$D:$D,'POINT سعد زغلول (قديم)'!$C:$C,$A10,'POINT سعد زغلول (قديم)'!$G:$G,"&lt;&gt;",'POINT سعد زغلول (قديم)'!$F:$F,""))</f>
        <v>0</v>
      </c>
      <c r="K10" s="5">
        <f>IF($A10="","",SUMIFS('POWER ارض النت'!$D:$D,'POWER ارض النت'!$C:$C,$A10,'POWER ارض النت'!$F:$F,"&lt;&gt;")-SUMIFS('POWER ارض النت'!$D:$D,'POWER ارض النت'!$C:$C,$A10,'POWER ارض النت'!$G:$G,"&lt;&gt;",'POWER ارض النت'!$F:$F,""))</f>
        <v>0</v>
      </c>
      <c r="L10" s="5">
        <f>IF($A10="","",SUMIFS('POWER زفتي'!$D:$D,'POWER زفتي'!$C:$C,$A10,'POWER زفتي'!$F:$F,"&lt;&gt;")-SUMIFS('POWER زفتي'!$D:$D,'POWER زفتي'!$C:$C,$A10,'POWER زفتي'!$G:$G,"&lt;&gt;",'POWER زفتي'!$F:$F,""))</f>
        <v>12</v>
      </c>
      <c r="M10" s="5">
        <f>IF($A10="","",SUMIFS('احمد المنوفي'!$D:$D,'احمد المنوفي'!$C:$C,$A10,'احمد المنوفي'!$F:$F,"&lt;&gt;")-SUMIFS('احمد المنوفي'!$D:$D,'احمد المنوفي'!$C:$C,$A10,'احمد المنوفي'!$G:$G,"&lt;&gt;",'احمد المنوفي'!$F:$F,""))</f>
        <v>0</v>
      </c>
      <c r="N10" s="5">
        <f>IF($A10="","",SUMIFS(السفير!$D:$D,السفير!$C:$C,$A10,السفير!$F:$F,"&lt;&gt;")-SUMIFS(السفير!$D:$D,السفير!$C:$C,$A10,السفير!$G:$G,"&lt;&gt;",السفير!$F:$F,""))</f>
        <v>0</v>
      </c>
      <c r="O10" s="5">
        <f>IF($A10="","",SUMIFS(العالمي!$D:$D,العالمي!$C:$C,$A10,العالمي!$F:$F,"&lt;&gt;")-SUMIFS(العالمي!$D:$D,العالمي!$C:$C,$A10,العالمي!$G:$G,"&lt;&gt;",العالمي!$F:$F,""))</f>
        <v>0</v>
      </c>
      <c r="P10" s="5">
        <f>IF($A10="","",SUMIFS('باهي التركي'!$D:$D,'باهي التركي'!$C:$C,$A10,'باهي التركي'!$F:$F,"&lt;&gt;")-SUMIFS('باهي التركي'!$D:$D,'باهي التركي'!$C:$C,$A10,'باهي التركي'!$G:$G,"&lt;&gt;",'باهي التركي'!$F:$F,""))</f>
        <v>0</v>
      </c>
      <c r="Q10" s="5">
        <f>IF($A10="","",SUMIFS('توتي دماص'!$D:$D,'توتي دماص'!$C:$C,$A10,'توتي دماص'!$F:$F,"&lt;&gt;")-SUMIFS('توتي دماص'!$D:$D,'توتي دماص'!$C:$C,$A10,'توتي دماص'!$G:$G,"&lt;&gt;",'توتي دماص'!$F:$F,""))</f>
        <v>0</v>
      </c>
      <c r="R10" s="5">
        <f>IF($A10="","",SUMIFS('رضا محمد'!$D:$D,'رضا محمد'!$C:$C,$A10,'رضا محمد'!$F:$F,"&lt;&gt;")-SUMIFS('رضا محمد'!$D:$D,'رضا محمد'!$C:$C,$A10,'رضا محمد'!$G:$G,"&lt;&gt;",'رضا محمد'!$F:$F,""))</f>
        <v>0</v>
      </c>
      <c r="S10" s="5">
        <f>IF($A10="","",SUMIFS('زومبي العشري'!$D:$D,'زومبي العشري'!$C:$C,$A10,'زومبي العشري'!$F:$F,"&lt;&gt;")-SUMIFS('زومبي العشري'!$D:$D,'زومبي العشري'!$C:$C,$A10,'زومبي العشري'!$G:$G,"&lt;&gt;",'زومبي العشري'!$F:$F,""))</f>
        <v>0</v>
      </c>
      <c r="T10" s="5">
        <f>IF($A10="","",SUMIFS('محمد عرابي'!$D:$D,'محمد عرابي'!$C:$C,$A10,'محمد عرابي'!$F:$F,"&lt;&gt;")-SUMIFS('محمد عرابي'!$D:$D,'محمد عرابي'!$C:$C,$A10,'محمد عرابي'!$G:$G,"&lt;&gt;",'محمد عرابي'!$F:$F,""))</f>
        <v>8</v>
      </c>
      <c r="U10" s="5">
        <f>IF($A10="","",SUMIFS('عم جمال'!$D:$D,'عم جمال'!$C:$C,$A10,'عم جمال'!$F:$F,"&lt;&gt;")-SUMIFS('عم جمال'!$D:$D,'عم جمال'!$C:$C,$A10,'عم جمال'!$G:$G,"&lt;&gt;",'عم جمال'!$F:$F,""))</f>
        <v>20</v>
      </c>
      <c r="V10" s="5">
        <f>IF($A10="","",SUMIFS('فاير سيليكت'!$D:$D,'فاير سيليكت'!$C:$C,$A10,'فاير سيليكت'!$F:$F,"&lt;&gt;")-SUMIFS('فاير سيليكت'!$D:$D,'فاير سيليكت'!$C:$C,$A10,'فاير سيليكت'!$G:$G,"&lt;&gt;",'فاير سيليكت'!$F:$F,""))</f>
        <v>0</v>
      </c>
      <c r="W10" s="5">
        <f>IF($A10="","",SUMIFS(فرانكو!$D:$D,فرانكو!$C:$C,$A10,فرانكو!$F:$F,"&lt;&gt;")-SUMIFS(فرانكو!$D:$D,فرانكو!$C:$C,$A10,فرانكو!$G:$G,"&lt;&gt;",فرانكو!$F:$F,""))</f>
        <v>0</v>
      </c>
      <c r="X10" s="5">
        <f>IF($A10="","",SUMIFS('كريم بكر'!$D:$D,'كريم بكر'!$C:$C,$A10,'كريم بكر'!$F:$F,"&lt;&gt;")-SUMIFS('كريم بكر'!$D:$D,'كريم بكر'!$C:$C,$A10,'كريم بكر'!$G:$G,"&lt;&gt;",'كريم بكر'!$F:$F,""))</f>
        <v>0</v>
      </c>
      <c r="Y10" s="5">
        <f>IF($A10="","",SUMIFS(بفرا!$D:$D,بفرا!$C:$C,$A10,بفرا!$F:$F,"&lt;&gt;")-SUMIFS(بفرا!$D:$D,بفرا!$C:$C,$A10,بفرا!$G:$G,"&lt;&gt;",بفرا!$F:$F,""))</f>
        <v>0</v>
      </c>
      <c r="Z10" s="5">
        <f>IF($A10="","",SUMIFS('محل كوم النور'!$D:$D,'محل كوم النور'!$C:$C,$A10,'محل كوم النور'!$F:$F,"&lt;&gt;")-SUMIFS('محل كوم النور'!$D:$D,'محل كوم النور'!$C:$C,$A10,'محل كوم النور'!$G:$G,"&lt;&gt;",'محل كوم النور'!$F:$F,""))</f>
        <v>0</v>
      </c>
      <c r="AA10" s="5">
        <f>IF($A10="","",SUMIFS('محمد النجار'!$D:$D,'محمد النجار'!$C:$C,$A10,'محمد النجار'!$F:$F,"&lt;&gt;")-SUMIFS('محمد النجار'!$D:$D,'محمد النجار'!$C:$C,$A10,'محمد النجار'!$G:$G,"&lt;&gt;",'محمد النجار'!$F:$F,""))</f>
        <v>12</v>
      </c>
      <c r="AB10" s="5">
        <f>IF($A10="","",SUMIFS('محمود عبدالرسول'!$D:$D,'محمود عبدالرسول'!$C:$C,$A10,'محمود عبدالرسول'!$F:$F,"&lt;&gt;")-SUMIFS('محمود عبدالرسول'!$D:$D,'محمود عبدالرسول'!$C:$C,$A10,'محمود عبدالرسول'!$G:$G,"&lt;&gt;",'محمود عبدالرسول'!$F:$F,""))</f>
        <v>0</v>
      </c>
      <c r="AC10" s="5">
        <f>IF($A10="","",SUMIFS('مول المصطفي'!$D:$D,'مول المصطفي'!$C:$C,$A10,'مول المصطفي'!$F:$F,"&lt;&gt;")-SUMIFS('مول المصطفي'!$D:$D,'مول المصطفي'!$C:$C,$A10,'مول المصطفي'!$G:$G,"&lt;&gt;",'مول المصطفي'!$F:$F,""))</f>
        <v>0</v>
      </c>
      <c r="AD10" s="5">
        <f>IF($A10="","",SUMIFS(مصانع!$D:$D,مصانع!$C:$C,$A10,مصانع!$F:$F,"&lt;&gt;")-SUMIFS(مصانع!$D:$D,مصانع!$C:$C,$A10,مصانع!$G:$G,"&lt;&gt;",مصانع!$F:$F,""))</f>
        <v>0</v>
      </c>
      <c r="AE10" s="6">
        <f t="shared" si="0"/>
        <v>135</v>
      </c>
      <c r="AF10" s="7" t="s">
        <v>62</v>
      </c>
      <c r="AG10" s="8">
        <v>148</v>
      </c>
      <c r="AH10" s="9">
        <f t="shared" si="1"/>
        <v>13</v>
      </c>
      <c r="AI10" s="8">
        <v>350</v>
      </c>
      <c r="AJ10" s="6">
        <f t="shared" si="2"/>
        <v>4550</v>
      </c>
    </row>
    <row r="11" spans="1:36">
      <c r="A11" s="4" t="s">
        <v>65</v>
      </c>
      <c r="B11" s="5">
        <f>IF($A11="","",SUMIFS('4K حموده'!$D:$D,'4K حموده'!$C:$C,$A11,'4K حموده'!$F:$F,"&lt;&gt;")-SUMIFS('4K حموده'!$D:$D,'4K حموده'!$C:$C,$A11,'4K حموده'!$G:$G,"&lt;&gt;",'4K حموده'!$F:$F,""))</f>
        <v>4</v>
      </c>
      <c r="C11" s="5">
        <f>IF($A11="","",SUMIFS('مكتب القاضي'!$D:$D,'مكتب القاضي'!$C:$C,$A11,'مكتب القاضي'!$F:$F,"&lt;&gt;")-SUMIFS('مكتب القاضي'!$D:$D,'مكتب القاضي'!$C:$C,$A11,'مكتب القاضي'!$G:$G,"&lt;&gt;",'مكتب القاضي'!$F:$F,""))</f>
        <v>0</v>
      </c>
      <c r="D11" s="5">
        <f>IF($A11="","",SUMIFS(الاتشو!$D:$D,الاتشو!$C:$C,$A11,الاتشو!$F:$F,"&lt;&gt;")-SUMIFS(الاتشو!$D:$D,الاتشو!$C:$C,$A11,الاتشو!$G:$G,"&lt;&gt;",الاتشو!$F:$F,""))</f>
        <v>0</v>
      </c>
      <c r="E11" s="5">
        <f>IF($A11="","",SUMIFS('علاء بوم ارض النت'!$D:$D,'علاء بوم ارض النت'!$C:$C,$A11,'علاء بوم ارض النت'!$F:$F,"&lt;&gt;")-SUMIFS('علاء بوم ارض النت'!$D:$D,'علاء بوم ارض النت'!$C:$C,$A11,'علاء بوم ارض النت'!$G:$G,"&lt;&gt;",'علاء بوم ارض النت'!$F:$F,""))</f>
        <v>28</v>
      </c>
      <c r="F11" s="5">
        <f>IF($A11="","",SUMIFS('كيمو ميت ابو خالد'!$D:$D,'كيمو ميت ابو خالد'!$C:$C,$A11,'كيمو ميت ابو خالد'!$F:$F,"&lt;&gt;")-SUMIFS('كيمو ميت ابو خالد'!$D:$D,'كيمو ميت ابو خالد'!$C:$C,$A11,'كيمو ميت ابو خالد'!$G:$G,"&lt;&gt;",'كيمو ميت ابو خالد'!$F:$F,""))</f>
        <v>0</v>
      </c>
      <c r="G11" s="5">
        <f>IF($A11="","",SUMIFS(KAZO!$D:$D,KAZO!$C:$C,$A11,KAZO!$F:$F,"&lt;&gt;")-SUMIFS(KAZO!$D:$D,KAZO!$C:$C,$A11,KAZO!$G:$G,"&lt;&gt;",KAZO!$F:$F,""))</f>
        <v>0</v>
      </c>
      <c r="H11" s="5">
        <f>IF($A11="","",SUMIFS(LAFY!$D:$D,LAFY!$C:$C,$A11,LAFY!$F:$F,"&lt;&gt;")-SUMIFS(LAFY!$D:$D,LAFY!$C:$C,$A11,LAFY!$G:$G,"&lt;&gt;",LAFY!$F:$F,""))</f>
        <v>0</v>
      </c>
      <c r="I11" s="5">
        <f>IF($A11="","",SUMIFS('POINT زفتي (جديد)'!$D:$D,'POINT زفتي (جديد)'!$C:$C,$A11,'POINT زفتي (جديد)'!$F:$F,"&lt;&gt;")-SUMIFS('POINT زفتي (جديد)'!$D:$D,'POINT زفتي (جديد)'!$C:$C,$A11,'POINT زفتي (جديد)'!$G:$G,"&lt;&gt;",'POINT زفتي (جديد)'!$F:$F,""))</f>
        <v>4</v>
      </c>
      <c r="J11" s="5">
        <f>IF($A11="","",SUMIFS('POINT سعد زغلول (قديم)'!$D:$D,'POINT سعد زغلول (قديم)'!$C:$C,$A11,'POINT سعد زغلول (قديم)'!$F:$F,"&lt;&gt;")-SUMIFS('POINT سعد زغلول (قديم)'!$D:$D,'POINT سعد زغلول (قديم)'!$C:$C,$A11,'POINT سعد زغلول (قديم)'!$G:$G,"&lt;&gt;",'POINT سعد زغلول (قديم)'!$F:$F,""))</f>
        <v>0</v>
      </c>
      <c r="K11" s="5">
        <f>IF($A11="","",SUMIFS('POWER ارض النت'!$D:$D,'POWER ارض النت'!$C:$C,$A11,'POWER ارض النت'!$F:$F,"&lt;&gt;")-SUMIFS('POWER ارض النت'!$D:$D,'POWER ارض النت'!$C:$C,$A11,'POWER ارض النت'!$G:$G,"&lt;&gt;",'POWER ارض النت'!$F:$F,""))</f>
        <v>0</v>
      </c>
      <c r="L11" s="5">
        <f>IF($A11="","",SUMIFS('POWER زفتي'!$D:$D,'POWER زفتي'!$C:$C,$A11,'POWER زفتي'!$F:$F,"&lt;&gt;")-SUMIFS('POWER زفتي'!$D:$D,'POWER زفتي'!$C:$C,$A11,'POWER زفتي'!$G:$G,"&lt;&gt;",'POWER زفتي'!$F:$F,""))</f>
        <v>0</v>
      </c>
      <c r="M11" s="5">
        <f>IF($A11="","",SUMIFS('احمد المنوفي'!$D:$D,'احمد المنوفي'!$C:$C,$A11,'احمد المنوفي'!$F:$F,"&lt;&gt;")-SUMIFS('احمد المنوفي'!$D:$D,'احمد المنوفي'!$C:$C,$A11,'احمد المنوفي'!$G:$G,"&lt;&gt;",'احمد المنوفي'!$F:$F,""))</f>
        <v>0</v>
      </c>
      <c r="N11" s="5">
        <f>IF($A11="","",SUMIFS(السفير!$D:$D,السفير!$C:$C,$A11,السفير!$F:$F,"&lt;&gt;")-SUMIFS(السفير!$D:$D,السفير!$C:$C,$A11,السفير!$G:$G,"&lt;&gt;",السفير!$F:$F,""))</f>
        <v>0</v>
      </c>
      <c r="O11" s="5">
        <f>IF($A11="","",SUMIFS(العالمي!$D:$D,العالمي!$C:$C,$A11,العالمي!$F:$F,"&lt;&gt;")-SUMIFS(العالمي!$D:$D,العالمي!$C:$C,$A11,العالمي!$G:$G,"&lt;&gt;",العالمي!$F:$F,""))</f>
        <v>0</v>
      </c>
      <c r="P11" s="5">
        <f>IF($A11="","",SUMIFS('باهي التركي'!$D:$D,'باهي التركي'!$C:$C,$A11,'باهي التركي'!$F:$F,"&lt;&gt;")-SUMIFS('باهي التركي'!$D:$D,'باهي التركي'!$C:$C,$A11,'باهي التركي'!$G:$G,"&lt;&gt;",'باهي التركي'!$F:$F,""))</f>
        <v>12</v>
      </c>
      <c r="Q11" s="5">
        <f>IF($A11="","",SUMIFS('توتي دماص'!$D:$D,'توتي دماص'!$C:$C,$A11,'توتي دماص'!$F:$F,"&lt;&gt;")-SUMIFS('توتي دماص'!$D:$D,'توتي دماص'!$C:$C,$A11,'توتي دماص'!$G:$G,"&lt;&gt;",'توتي دماص'!$F:$F,""))</f>
        <v>0</v>
      </c>
      <c r="R11" s="5">
        <f>IF($A11="","",SUMIFS('رضا محمد'!$D:$D,'رضا محمد'!$C:$C,$A11,'رضا محمد'!$F:$F,"&lt;&gt;")-SUMIFS('رضا محمد'!$D:$D,'رضا محمد'!$C:$C,$A11,'رضا محمد'!$G:$G,"&lt;&gt;",'رضا محمد'!$F:$F,""))</f>
        <v>0</v>
      </c>
      <c r="S11" s="5">
        <f>IF($A11="","",SUMIFS('زومبي العشري'!$D:$D,'زومبي العشري'!$C:$C,$A11,'زومبي العشري'!$F:$F,"&lt;&gt;")-SUMIFS('زومبي العشري'!$D:$D,'زومبي العشري'!$C:$C,$A11,'زومبي العشري'!$G:$G,"&lt;&gt;",'زومبي العشري'!$F:$F,""))</f>
        <v>0</v>
      </c>
      <c r="T11" s="5">
        <f>IF($A11="","",SUMIFS('محمد عرابي'!$D:$D,'محمد عرابي'!$C:$C,$A11,'محمد عرابي'!$F:$F,"&lt;&gt;")-SUMIFS('محمد عرابي'!$D:$D,'محمد عرابي'!$C:$C,$A11,'محمد عرابي'!$G:$G,"&lt;&gt;",'محمد عرابي'!$F:$F,""))</f>
        <v>0</v>
      </c>
      <c r="U11" s="5">
        <f>IF($A11="","",SUMIFS('عم جمال'!$D:$D,'عم جمال'!$C:$C,$A11,'عم جمال'!$F:$F,"&lt;&gt;")-SUMIFS('عم جمال'!$D:$D,'عم جمال'!$C:$C,$A11,'عم جمال'!$G:$G,"&lt;&gt;",'عم جمال'!$F:$F,""))</f>
        <v>0</v>
      </c>
      <c r="V11" s="5">
        <f>IF($A11="","",SUMIFS('فاير سيليكت'!$D:$D,'فاير سيليكت'!$C:$C,$A11,'فاير سيليكت'!$F:$F,"&lt;&gt;")-SUMIFS('فاير سيليكت'!$D:$D,'فاير سيليكت'!$C:$C,$A11,'فاير سيليكت'!$G:$G,"&lt;&gt;",'فاير سيليكت'!$F:$F,""))</f>
        <v>0</v>
      </c>
      <c r="W11" s="5">
        <f>IF($A11="","",SUMIFS(فرانكو!$D:$D,فرانكو!$C:$C,$A11,فرانكو!$F:$F,"&lt;&gt;")-SUMIFS(فرانكو!$D:$D,فرانكو!$C:$C,$A11,فرانكو!$G:$G,"&lt;&gt;",فرانكو!$F:$F,""))</f>
        <v>0</v>
      </c>
      <c r="X11" s="5">
        <f>IF($A11="","",SUMIFS('كريم بكر'!$D:$D,'كريم بكر'!$C:$C,$A11,'كريم بكر'!$F:$F,"&lt;&gt;")-SUMIFS('كريم بكر'!$D:$D,'كريم بكر'!$C:$C,$A11,'كريم بكر'!$G:$G,"&lt;&gt;",'كريم بكر'!$F:$F,""))</f>
        <v>0</v>
      </c>
      <c r="Y11" s="5">
        <f>IF($A11="","",SUMIFS(بفرا!$D:$D,بفرا!$C:$C,$A11,بفرا!$F:$F,"&lt;&gt;")-SUMIFS(بفرا!$D:$D,بفرا!$C:$C,$A11,بفرا!$G:$G,"&lt;&gt;",بفرا!$F:$F,""))</f>
        <v>0</v>
      </c>
      <c r="Z11" s="5">
        <f>IF($A11="","",SUMIFS('محل كوم النور'!$D:$D,'محل كوم النور'!$C:$C,$A11,'محل كوم النور'!$F:$F,"&lt;&gt;")-SUMIFS('محل كوم النور'!$D:$D,'محل كوم النور'!$C:$C,$A11,'محل كوم النور'!$G:$G,"&lt;&gt;",'محل كوم النور'!$F:$F,""))</f>
        <v>0</v>
      </c>
      <c r="AA11" s="5">
        <f>IF($A11="","",SUMIFS('محمد النجار'!$D:$D,'محمد النجار'!$C:$C,$A11,'محمد النجار'!$F:$F,"&lt;&gt;")-SUMIFS('محمد النجار'!$D:$D,'محمد النجار'!$C:$C,$A11,'محمد النجار'!$G:$G,"&lt;&gt;",'محمد النجار'!$F:$F,""))</f>
        <v>0</v>
      </c>
      <c r="AB11" s="5">
        <f>IF($A11="","",SUMIFS('محمود عبدالرسول'!$D:$D,'محمود عبدالرسول'!$C:$C,$A11,'محمود عبدالرسول'!$F:$F,"&lt;&gt;")-SUMIFS('محمود عبدالرسول'!$D:$D,'محمود عبدالرسول'!$C:$C,$A11,'محمود عبدالرسول'!$G:$G,"&lt;&gt;",'محمود عبدالرسول'!$F:$F,""))</f>
        <v>8</v>
      </c>
      <c r="AC11" s="5">
        <f>IF($A11="","",SUMIFS('مول المصطفي'!$D:$D,'مول المصطفي'!$C:$C,$A11,'مول المصطفي'!$F:$F,"&lt;&gt;")-SUMIFS('مول المصطفي'!$D:$D,'مول المصطفي'!$C:$C,$A11,'مول المصطفي'!$G:$G,"&lt;&gt;",'مول المصطفي'!$F:$F,""))</f>
        <v>0</v>
      </c>
      <c r="AD11" s="5">
        <f>IF($A11="","",SUMIFS(مصانع!$D:$D,مصانع!$C:$C,$A11,مصانع!$F:$F,"&lt;&gt;")-SUMIFS(مصانع!$D:$D,مصانع!$C:$C,$A11,مصانع!$G:$G,"&lt;&gt;",مصانع!$F:$F,""))</f>
        <v>0</v>
      </c>
      <c r="AE11" s="6">
        <f t="shared" si="0"/>
        <v>56</v>
      </c>
      <c r="AF11" s="7" t="s">
        <v>66</v>
      </c>
      <c r="AG11" s="8">
        <v>96</v>
      </c>
      <c r="AH11" s="9">
        <f t="shared" si="1"/>
        <v>40</v>
      </c>
      <c r="AI11" s="8">
        <v>330</v>
      </c>
      <c r="AJ11" s="6">
        <f t="shared" si="2"/>
        <v>13200</v>
      </c>
    </row>
    <row r="12" spans="1:36">
      <c r="A12" s="4" t="s">
        <v>67</v>
      </c>
      <c r="B12" s="5">
        <f>IF($A12="","",SUMIFS('4K حموده'!$D:$D,'4K حموده'!$C:$C,$A12,'4K حموده'!$F:$F,"&lt;&gt;")-SUMIFS('4K حموده'!$D:$D,'4K حموده'!$C:$C,$A12,'4K حموده'!$G:$G,"&lt;&gt;",'4K حموده'!$F:$F,""))</f>
        <v>0</v>
      </c>
      <c r="C12" s="5">
        <f>IF($A12="","",SUMIFS('مكتب القاضي'!$D:$D,'مكتب القاضي'!$C:$C,$A12,'مكتب القاضي'!$F:$F,"&lt;&gt;")-SUMIFS('مكتب القاضي'!$D:$D,'مكتب القاضي'!$C:$C,$A12,'مكتب القاضي'!$G:$G,"&lt;&gt;",'مكتب القاضي'!$F:$F,""))</f>
        <v>1</v>
      </c>
      <c r="D12" s="5">
        <f>IF($A12="","",SUMIFS(الاتشو!$D:$D,الاتشو!$C:$C,$A12,الاتشو!$F:$F,"&lt;&gt;")-SUMIFS(الاتشو!$D:$D,الاتشو!$C:$C,$A12,الاتشو!$G:$G,"&lt;&gt;",الاتشو!$F:$F,""))</f>
        <v>0</v>
      </c>
      <c r="E12" s="5">
        <f>IF($A12="","",SUMIFS('علاء بوم ارض النت'!$D:$D,'علاء بوم ارض النت'!$C:$C,$A12,'علاء بوم ارض النت'!$F:$F,"&lt;&gt;")-SUMIFS('علاء بوم ارض النت'!$D:$D,'علاء بوم ارض النت'!$C:$C,$A12,'علاء بوم ارض النت'!$G:$G,"&lt;&gt;",'علاء بوم ارض النت'!$F:$F,""))</f>
        <v>12</v>
      </c>
      <c r="F12" s="5">
        <f>IF($A12="","",SUMIFS('كيمو ميت ابو خالد'!$D:$D,'كيمو ميت ابو خالد'!$C:$C,$A12,'كيمو ميت ابو خالد'!$F:$F,"&lt;&gt;")-SUMIFS('كيمو ميت ابو خالد'!$D:$D,'كيمو ميت ابو خالد'!$C:$C,$A12,'كيمو ميت ابو خالد'!$G:$G,"&lt;&gt;",'كيمو ميت ابو خالد'!$F:$F,""))</f>
        <v>0</v>
      </c>
      <c r="G12" s="5">
        <f>IF($A12="","",SUMIFS(KAZO!$D:$D,KAZO!$C:$C,$A12,KAZO!$F:$F,"&lt;&gt;")-SUMIFS(KAZO!$D:$D,KAZO!$C:$C,$A12,KAZO!$G:$G,"&lt;&gt;",KAZO!$F:$F,""))</f>
        <v>0</v>
      </c>
      <c r="H12" s="5">
        <f>IF($A12="","",SUMIFS(LAFY!$D:$D,LAFY!$C:$C,$A12,LAFY!$F:$F,"&lt;&gt;")-SUMIFS(LAFY!$D:$D,LAFY!$C:$C,$A12,LAFY!$G:$G,"&lt;&gt;",LAFY!$F:$F,""))</f>
        <v>0</v>
      </c>
      <c r="I12" s="5">
        <f>IF($A12="","",SUMIFS('POINT زفتي (جديد)'!$D:$D,'POINT زفتي (جديد)'!$C:$C,$A12,'POINT زفتي (جديد)'!$F:$F,"&lt;&gt;")-SUMIFS('POINT زفتي (جديد)'!$D:$D,'POINT زفتي (جديد)'!$C:$C,$A12,'POINT زفتي (جديد)'!$G:$G,"&lt;&gt;",'POINT زفتي (جديد)'!$F:$F,""))</f>
        <v>0</v>
      </c>
      <c r="J12" s="5">
        <f>IF($A12="","",SUMIFS('POINT سعد زغلول (قديم)'!$D:$D,'POINT سعد زغلول (قديم)'!$C:$C,$A12,'POINT سعد زغلول (قديم)'!$F:$F,"&lt;&gt;")-SUMIFS('POINT سعد زغلول (قديم)'!$D:$D,'POINT سعد زغلول (قديم)'!$C:$C,$A12,'POINT سعد زغلول (قديم)'!$G:$G,"&lt;&gt;",'POINT سعد زغلول (قديم)'!$F:$F,""))</f>
        <v>0</v>
      </c>
      <c r="K12" s="5">
        <f>IF($A12="","",SUMIFS('POWER ارض النت'!$D:$D,'POWER ارض النت'!$C:$C,$A12,'POWER ارض النت'!$F:$F,"&lt;&gt;")-SUMIFS('POWER ارض النت'!$D:$D,'POWER ارض النت'!$C:$C,$A12,'POWER ارض النت'!$G:$G,"&lt;&gt;",'POWER ارض النت'!$F:$F,""))</f>
        <v>8</v>
      </c>
      <c r="L12" s="5">
        <f>IF($A12="","",SUMIFS('POWER زفتي'!$D:$D,'POWER زفتي'!$C:$C,$A12,'POWER زفتي'!$F:$F,"&lt;&gt;")-SUMIFS('POWER زفتي'!$D:$D,'POWER زفتي'!$C:$C,$A12,'POWER زفتي'!$G:$G,"&lt;&gt;",'POWER زفتي'!$F:$F,""))</f>
        <v>4</v>
      </c>
      <c r="M12" s="5">
        <f>IF($A12="","",SUMIFS('احمد المنوفي'!$D:$D,'احمد المنوفي'!$C:$C,$A12,'احمد المنوفي'!$F:$F,"&lt;&gt;")-SUMIFS('احمد المنوفي'!$D:$D,'احمد المنوفي'!$C:$C,$A12,'احمد المنوفي'!$G:$G,"&lt;&gt;",'احمد المنوفي'!$F:$F,""))</f>
        <v>0</v>
      </c>
      <c r="N12" s="5">
        <f>IF($A12="","",SUMIFS(السفير!$D:$D,السفير!$C:$C,$A12,السفير!$F:$F,"&lt;&gt;")-SUMIFS(السفير!$D:$D,السفير!$C:$C,$A12,السفير!$G:$G,"&lt;&gt;",السفير!$F:$F,""))</f>
        <v>0</v>
      </c>
      <c r="O12" s="5">
        <f>IF($A12="","",SUMIFS(العالمي!$D:$D,العالمي!$C:$C,$A12,العالمي!$F:$F,"&lt;&gt;")-SUMIFS(العالمي!$D:$D,العالمي!$C:$C,$A12,العالمي!$G:$G,"&lt;&gt;",العالمي!$F:$F,""))</f>
        <v>0</v>
      </c>
      <c r="P12" s="5">
        <f>IF($A12="","",SUMIFS('باهي التركي'!$D:$D,'باهي التركي'!$C:$C,$A12,'باهي التركي'!$F:$F,"&lt;&gt;")-SUMIFS('باهي التركي'!$D:$D,'باهي التركي'!$C:$C,$A12,'باهي التركي'!$G:$G,"&lt;&gt;",'باهي التركي'!$F:$F,""))</f>
        <v>8</v>
      </c>
      <c r="Q12" s="5">
        <f>IF($A12="","",SUMIFS('توتي دماص'!$D:$D,'توتي دماص'!$C:$C,$A12,'توتي دماص'!$F:$F,"&lt;&gt;")-SUMIFS('توتي دماص'!$D:$D,'توتي دماص'!$C:$C,$A12,'توتي دماص'!$G:$G,"&lt;&gt;",'توتي دماص'!$F:$F,""))</f>
        <v>0</v>
      </c>
      <c r="R12" s="5">
        <f>IF($A12="","",SUMIFS('رضا محمد'!$D:$D,'رضا محمد'!$C:$C,$A12,'رضا محمد'!$F:$F,"&lt;&gt;")-SUMIFS('رضا محمد'!$D:$D,'رضا محمد'!$C:$C,$A12,'رضا محمد'!$G:$G,"&lt;&gt;",'رضا محمد'!$F:$F,""))</f>
        <v>6</v>
      </c>
      <c r="S12" s="5">
        <f>IF($A12="","",SUMIFS('زومبي العشري'!$D:$D,'زومبي العشري'!$C:$C,$A12,'زومبي العشري'!$F:$F,"&lt;&gt;")-SUMIFS('زومبي العشري'!$D:$D,'زومبي العشري'!$C:$C,$A12,'زومبي العشري'!$G:$G,"&lt;&gt;",'زومبي العشري'!$F:$F,""))</f>
        <v>0</v>
      </c>
      <c r="T12" s="5">
        <f>IF($A12="","",SUMIFS('محمد عرابي'!$D:$D,'محمد عرابي'!$C:$C,$A12,'محمد عرابي'!$F:$F,"&lt;&gt;")-SUMIFS('محمد عرابي'!$D:$D,'محمد عرابي'!$C:$C,$A12,'محمد عرابي'!$G:$G,"&lt;&gt;",'محمد عرابي'!$F:$F,""))</f>
        <v>0</v>
      </c>
      <c r="U12" s="5">
        <f>IF($A12="","",SUMIFS('عم جمال'!$D:$D,'عم جمال'!$C:$C,$A12,'عم جمال'!$F:$F,"&lt;&gt;")-SUMIFS('عم جمال'!$D:$D,'عم جمال'!$C:$C,$A12,'عم جمال'!$G:$G,"&lt;&gt;",'عم جمال'!$F:$F,""))</f>
        <v>0</v>
      </c>
      <c r="V12" s="5">
        <f>IF($A12="","",SUMIFS('فاير سيليكت'!$D:$D,'فاير سيليكت'!$C:$C,$A12,'فاير سيليكت'!$F:$F,"&lt;&gt;")-SUMIFS('فاير سيليكت'!$D:$D,'فاير سيليكت'!$C:$C,$A12,'فاير سيليكت'!$G:$G,"&lt;&gt;",'فاير سيليكت'!$F:$F,""))</f>
        <v>0</v>
      </c>
      <c r="W12" s="5">
        <f>IF($A12="","",SUMIFS(فرانكو!$D:$D,فرانكو!$C:$C,$A12,فرانكو!$F:$F,"&lt;&gt;")-SUMIFS(فرانكو!$D:$D,فرانكو!$C:$C,$A12,فرانكو!$G:$G,"&lt;&gt;",فرانكو!$F:$F,""))</f>
        <v>0</v>
      </c>
      <c r="X12" s="5">
        <f>IF($A12="","",SUMIFS('كريم بكر'!$D:$D,'كريم بكر'!$C:$C,$A12,'كريم بكر'!$F:$F,"&lt;&gt;")-SUMIFS('كريم بكر'!$D:$D,'كريم بكر'!$C:$C,$A12,'كريم بكر'!$G:$G,"&lt;&gt;",'كريم بكر'!$F:$F,""))</f>
        <v>0</v>
      </c>
      <c r="Y12" s="5">
        <f>IF($A12="","",SUMIFS(بفرا!$D:$D,بفرا!$C:$C,$A12,بفرا!$F:$F,"&lt;&gt;")-SUMIFS(بفرا!$D:$D,بفرا!$C:$C,$A12,بفرا!$G:$G,"&lt;&gt;",بفرا!$F:$F,""))</f>
        <v>0</v>
      </c>
      <c r="Z12" s="5">
        <f>IF($A12="","",SUMIFS('محل كوم النور'!$D:$D,'محل كوم النور'!$C:$C,$A12,'محل كوم النور'!$F:$F,"&lt;&gt;")-SUMIFS('محل كوم النور'!$D:$D,'محل كوم النور'!$C:$C,$A12,'محل كوم النور'!$G:$G,"&lt;&gt;",'محل كوم النور'!$F:$F,""))</f>
        <v>0</v>
      </c>
      <c r="AA12" s="5">
        <f>IF($A12="","",SUMIFS('محمد النجار'!$D:$D,'محمد النجار'!$C:$C,$A12,'محمد النجار'!$F:$F,"&lt;&gt;")-SUMIFS('محمد النجار'!$D:$D,'محمد النجار'!$C:$C,$A12,'محمد النجار'!$G:$G,"&lt;&gt;",'محمد النجار'!$F:$F,""))</f>
        <v>0</v>
      </c>
      <c r="AB12" s="5">
        <f>IF($A12="","",SUMIFS('محمود عبدالرسول'!$D:$D,'محمود عبدالرسول'!$C:$C,$A12,'محمود عبدالرسول'!$F:$F,"&lt;&gt;")-SUMIFS('محمود عبدالرسول'!$D:$D,'محمود عبدالرسول'!$C:$C,$A12,'محمود عبدالرسول'!$G:$G,"&lt;&gt;",'محمود عبدالرسول'!$F:$F,""))</f>
        <v>0</v>
      </c>
      <c r="AC12" s="5">
        <f>IF($A12="","",SUMIFS('مول المصطفي'!$D:$D,'مول المصطفي'!$C:$C,$A12,'مول المصطفي'!$F:$F,"&lt;&gt;")-SUMIFS('مول المصطفي'!$D:$D,'مول المصطفي'!$C:$C,$A12,'مول المصطفي'!$G:$G,"&lt;&gt;",'مول المصطفي'!$F:$F,""))</f>
        <v>0</v>
      </c>
      <c r="AD12" s="5">
        <f>IF($A12="","",SUMIFS(مصانع!$D:$D,مصانع!$C:$C,$A12,مصانع!$F:$F,"&lt;&gt;")-SUMIFS(مصانع!$D:$D,مصانع!$C:$C,$A12,مصانع!$G:$G,"&lt;&gt;",مصانع!$F:$F,""))</f>
        <v>0</v>
      </c>
      <c r="AE12" s="6">
        <f t="shared" si="0"/>
        <v>39</v>
      </c>
      <c r="AF12" s="7" t="s">
        <v>68</v>
      </c>
      <c r="AG12" s="8">
        <v>80</v>
      </c>
      <c r="AH12" s="9">
        <f t="shared" si="1"/>
        <v>41</v>
      </c>
      <c r="AI12" s="8">
        <v>800</v>
      </c>
      <c r="AJ12" s="6">
        <f t="shared" si="2"/>
        <v>32800</v>
      </c>
    </row>
    <row r="13" spans="1:36">
      <c r="A13" s="4" t="s">
        <v>79</v>
      </c>
      <c r="B13" s="5">
        <f>IF($A13="","",SUMIFS('4K حموده'!$D:$D,'4K حموده'!$C:$C,$A13,'4K حموده'!$F:$F,"&lt;&gt;")-SUMIFS('4K حموده'!$D:$D,'4K حموده'!$C:$C,$A13,'4K حموده'!$G:$G,"&lt;&gt;",'4K حموده'!$F:$F,""))</f>
        <v>0</v>
      </c>
      <c r="C13" s="5">
        <f>IF($A13="","",SUMIFS('مكتب القاضي'!$D:$D,'مكتب القاضي'!$C:$C,$A13,'مكتب القاضي'!$F:$F,"&lt;&gt;")-SUMIFS('مكتب القاضي'!$D:$D,'مكتب القاضي'!$C:$C,$A13,'مكتب القاضي'!$G:$G,"&lt;&gt;",'مكتب القاضي'!$F:$F,""))</f>
        <v>0</v>
      </c>
      <c r="D13" s="5">
        <f>IF($A13="","",SUMIFS(الاتشو!$D:$D,الاتشو!$C:$C,$A13,الاتشو!$F:$F,"&lt;&gt;")-SUMIFS(الاتشو!$D:$D,الاتشو!$C:$C,$A13,الاتشو!$G:$G,"&lt;&gt;",الاتشو!$F:$F,""))</f>
        <v>0</v>
      </c>
      <c r="E13" s="5">
        <f>IF($A13="","",SUMIFS('علاء بوم ارض النت'!$D:$D,'علاء بوم ارض النت'!$C:$C,$A13,'علاء بوم ارض النت'!$F:$F,"&lt;&gt;")-SUMIFS('علاء بوم ارض النت'!$D:$D,'علاء بوم ارض النت'!$C:$C,$A13,'علاء بوم ارض النت'!$G:$G,"&lt;&gt;",'علاء بوم ارض النت'!$F:$F,""))</f>
        <v>12</v>
      </c>
      <c r="F13" s="5">
        <f>IF($A13="","",SUMIFS('كيمو ميت ابو خالد'!$D:$D,'كيمو ميت ابو خالد'!$C:$C,$A13,'كيمو ميت ابو خالد'!$F:$F,"&lt;&gt;")-SUMIFS('كيمو ميت ابو خالد'!$D:$D,'كيمو ميت ابو خالد'!$C:$C,$A13,'كيمو ميت ابو خالد'!$G:$G,"&lt;&gt;",'كيمو ميت ابو خالد'!$F:$F,""))</f>
        <v>0</v>
      </c>
      <c r="G13" s="5">
        <f>IF($A13="","",SUMIFS(KAZO!$D:$D,KAZO!$C:$C,$A13,KAZO!$F:$F,"&lt;&gt;")-SUMIFS(KAZO!$D:$D,KAZO!$C:$C,$A13,KAZO!$G:$G,"&lt;&gt;",KAZO!$F:$F,""))</f>
        <v>0</v>
      </c>
      <c r="H13" s="5">
        <f>IF($A13="","",SUMIFS(LAFY!$D:$D,LAFY!$C:$C,$A13,LAFY!$F:$F,"&lt;&gt;")-SUMIFS(LAFY!$D:$D,LAFY!$C:$C,$A13,LAFY!$G:$G,"&lt;&gt;",LAFY!$F:$F,""))</f>
        <v>0</v>
      </c>
      <c r="I13" s="5">
        <f>IF($A13="","",SUMIFS('POINT زفتي (جديد)'!$D:$D,'POINT زفتي (جديد)'!$C:$C,$A13,'POINT زفتي (جديد)'!$F:$F,"&lt;&gt;")-SUMIFS('POINT زفتي (جديد)'!$D:$D,'POINT زفتي (جديد)'!$C:$C,$A13,'POINT زفتي (جديد)'!$G:$G,"&lt;&gt;",'POINT زفتي (جديد)'!$F:$F,""))</f>
        <v>0</v>
      </c>
      <c r="J13" s="5">
        <f>IF($A13="","",SUMIFS('POINT سعد زغلول (قديم)'!$D:$D,'POINT سعد زغلول (قديم)'!$C:$C,$A13,'POINT سعد زغلول (قديم)'!$F:$F,"&lt;&gt;")-SUMIFS('POINT سعد زغلول (قديم)'!$D:$D,'POINT سعد زغلول (قديم)'!$C:$C,$A13,'POINT سعد زغلول (قديم)'!$G:$G,"&lt;&gt;",'POINT سعد زغلول (قديم)'!$F:$F,""))</f>
        <v>0</v>
      </c>
      <c r="K13" s="5">
        <f>IF($A13="","",SUMIFS('POWER ارض النت'!$D:$D,'POWER ارض النت'!$C:$C,$A13,'POWER ارض النت'!$F:$F,"&lt;&gt;")-SUMIFS('POWER ارض النت'!$D:$D,'POWER ارض النت'!$C:$C,$A13,'POWER ارض النت'!$G:$G,"&lt;&gt;",'POWER ارض النت'!$F:$F,""))</f>
        <v>0</v>
      </c>
      <c r="L13" s="5">
        <f>IF($A13="","",SUMIFS('POWER زفتي'!$D:$D,'POWER زفتي'!$C:$C,$A13,'POWER زفتي'!$F:$F,"&lt;&gt;")-SUMIFS('POWER زفتي'!$D:$D,'POWER زفتي'!$C:$C,$A13,'POWER زفتي'!$G:$G,"&lt;&gt;",'POWER زفتي'!$F:$F,""))</f>
        <v>0</v>
      </c>
      <c r="M13" s="5">
        <f>IF($A13="","",SUMIFS('احمد المنوفي'!$D:$D,'احمد المنوفي'!$C:$C,$A13,'احمد المنوفي'!$F:$F,"&lt;&gt;")-SUMIFS('احمد المنوفي'!$D:$D,'احمد المنوفي'!$C:$C,$A13,'احمد المنوفي'!$G:$G,"&lt;&gt;",'احمد المنوفي'!$F:$F,""))</f>
        <v>0</v>
      </c>
      <c r="N13" s="5">
        <f>IF($A13="","",SUMIFS(السفير!$D:$D,السفير!$C:$C,$A13,السفير!$F:$F,"&lt;&gt;")-SUMIFS(السفير!$D:$D,السفير!$C:$C,$A13,السفير!$G:$G,"&lt;&gt;",السفير!$F:$F,""))</f>
        <v>0</v>
      </c>
      <c r="O13" s="5">
        <f>IF($A13="","",SUMIFS(العالمي!$D:$D,العالمي!$C:$C,$A13,العالمي!$F:$F,"&lt;&gt;")-SUMIFS(العالمي!$D:$D,العالمي!$C:$C,$A13,العالمي!$G:$G,"&lt;&gt;",العالمي!$F:$F,""))</f>
        <v>0</v>
      </c>
      <c r="P13" s="5">
        <f>IF($A13="","",SUMIFS('باهي التركي'!$D:$D,'باهي التركي'!$C:$C,$A13,'باهي التركي'!$F:$F,"&lt;&gt;")-SUMIFS('باهي التركي'!$D:$D,'باهي التركي'!$C:$C,$A13,'باهي التركي'!$G:$G,"&lt;&gt;",'باهي التركي'!$F:$F,""))</f>
        <v>0</v>
      </c>
      <c r="Q13" s="5">
        <f>IF($A13="","",SUMIFS('توتي دماص'!$D:$D,'توتي دماص'!$C:$C,$A13,'توتي دماص'!$F:$F,"&lt;&gt;")-SUMIFS('توتي دماص'!$D:$D,'توتي دماص'!$C:$C,$A13,'توتي دماص'!$G:$G,"&lt;&gt;",'توتي دماص'!$F:$F,""))</f>
        <v>0</v>
      </c>
      <c r="R13" s="5">
        <f>IF($A13="","",SUMIFS('رضا محمد'!$D:$D,'رضا محمد'!$C:$C,$A13,'رضا محمد'!$F:$F,"&lt;&gt;")-SUMIFS('رضا محمد'!$D:$D,'رضا محمد'!$C:$C,$A13,'رضا محمد'!$G:$G,"&lt;&gt;",'رضا محمد'!$F:$F,""))</f>
        <v>0</v>
      </c>
      <c r="S13" s="5">
        <f>IF($A13="","",SUMIFS('زومبي العشري'!$D:$D,'زومبي العشري'!$C:$C,$A13,'زومبي العشري'!$F:$F,"&lt;&gt;")-SUMIFS('زومبي العشري'!$D:$D,'زومبي العشري'!$C:$C,$A13,'زومبي العشري'!$G:$G,"&lt;&gt;",'زومبي العشري'!$F:$F,""))</f>
        <v>0</v>
      </c>
      <c r="T13" s="5">
        <f>IF($A13="","",SUMIFS('محمد عرابي'!$D:$D,'محمد عرابي'!$C:$C,$A13,'محمد عرابي'!$F:$F,"&lt;&gt;")-SUMIFS('محمد عرابي'!$D:$D,'محمد عرابي'!$C:$C,$A13,'محمد عرابي'!$G:$G,"&lt;&gt;",'محمد عرابي'!$F:$F,""))</f>
        <v>0</v>
      </c>
      <c r="U13" s="5">
        <f>IF($A13="","",SUMIFS('عم جمال'!$D:$D,'عم جمال'!$C:$C,$A13,'عم جمال'!$F:$F,"&lt;&gt;")-SUMIFS('عم جمال'!$D:$D,'عم جمال'!$C:$C,$A13,'عم جمال'!$G:$G,"&lt;&gt;",'عم جمال'!$F:$F,""))</f>
        <v>0</v>
      </c>
      <c r="V13" s="5">
        <f>IF($A13="","",SUMIFS('فاير سيليكت'!$D:$D,'فاير سيليكت'!$C:$C,$A13,'فاير سيليكت'!$F:$F,"&lt;&gt;")-SUMIFS('فاير سيليكت'!$D:$D,'فاير سيليكت'!$C:$C,$A13,'فاير سيليكت'!$G:$G,"&lt;&gt;",'فاير سيليكت'!$F:$F,""))</f>
        <v>0</v>
      </c>
      <c r="W13" s="5">
        <f>IF($A13="","",SUMIFS(فرانكو!$D:$D,فرانكو!$C:$C,$A13,فرانكو!$F:$F,"&lt;&gt;")-SUMIFS(فرانكو!$D:$D,فرانكو!$C:$C,$A13,فرانكو!$G:$G,"&lt;&gt;",فرانكو!$F:$F,""))</f>
        <v>0</v>
      </c>
      <c r="X13" s="5">
        <f>IF($A13="","",SUMIFS('كريم بكر'!$D:$D,'كريم بكر'!$C:$C,$A13,'كريم بكر'!$F:$F,"&lt;&gt;")-SUMIFS('كريم بكر'!$D:$D,'كريم بكر'!$C:$C,$A13,'كريم بكر'!$G:$G,"&lt;&gt;",'كريم بكر'!$F:$F,""))</f>
        <v>0</v>
      </c>
      <c r="Y13" s="5">
        <f>IF($A13="","",SUMIFS(بفرا!$D:$D,بفرا!$C:$C,$A13,بفرا!$F:$F,"&lt;&gt;")-SUMIFS(بفرا!$D:$D,بفرا!$C:$C,$A13,بفرا!$G:$G,"&lt;&gt;",بفرا!$F:$F,""))</f>
        <v>0</v>
      </c>
      <c r="Z13" s="5">
        <f>IF($A13="","",SUMIFS('محل كوم النور'!$D:$D,'محل كوم النور'!$C:$C,$A13,'محل كوم النور'!$F:$F,"&lt;&gt;")-SUMIFS('محل كوم النور'!$D:$D,'محل كوم النور'!$C:$C,$A13,'محل كوم النور'!$G:$G,"&lt;&gt;",'محل كوم النور'!$F:$F,""))</f>
        <v>0</v>
      </c>
      <c r="AA13" s="5">
        <f>IF($A13="","",SUMIFS('محمد النجار'!$D:$D,'محمد النجار'!$C:$C,$A13,'محمد النجار'!$F:$F,"&lt;&gt;")-SUMIFS('محمد النجار'!$D:$D,'محمد النجار'!$C:$C,$A13,'محمد النجار'!$G:$G,"&lt;&gt;",'محمد النجار'!$F:$F,""))</f>
        <v>0</v>
      </c>
      <c r="AB13" s="5">
        <f>IF($A13="","",SUMIFS('محمود عبدالرسول'!$D:$D,'محمود عبدالرسول'!$C:$C,$A13,'محمود عبدالرسول'!$F:$F,"&lt;&gt;")-SUMIFS('محمود عبدالرسول'!$D:$D,'محمود عبدالرسول'!$C:$C,$A13,'محمود عبدالرسول'!$G:$G,"&lt;&gt;",'محمود عبدالرسول'!$F:$F,""))</f>
        <v>0</v>
      </c>
      <c r="AC13" s="5">
        <f>IF($A13="","",SUMIFS('مول المصطفي'!$D:$D,'مول المصطفي'!$C:$C,$A13,'مول المصطفي'!$F:$F,"&lt;&gt;")-SUMIFS('مول المصطفي'!$D:$D,'مول المصطفي'!$C:$C,$A13,'مول المصطفي'!$G:$G,"&lt;&gt;",'مول المصطفي'!$F:$F,""))</f>
        <v>0</v>
      </c>
      <c r="AD13" s="5">
        <f>IF($A13="","",SUMIFS(مصانع!$D:$D,مصانع!$C:$C,$A13,مصانع!$F:$F,"&lt;&gt;")-SUMIFS(مصانع!$D:$D,مصانع!$C:$C,$A13,مصانع!$G:$G,"&lt;&gt;",مصانع!$F:$F,""))</f>
        <v>0</v>
      </c>
      <c r="AE13" s="6">
        <f t="shared" si="0"/>
        <v>12</v>
      </c>
      <c r="AF13" s="7" t="s">
        <v>80</v>
      </c>
      <c r="AG13" s="8">
        <v>24</v>
      </c>
      <c r="AH13" s="9">
        <f t="shared" si="1"/>
        <v>12</v>
      </c>
      <c r="AI13" s="8">
        <v>385</v>
      </c>
      <c r="AJ13" s="6">
        <f t="shared" si="2"/>
        <v>4620</v>
      </c>
    </row>
    <row r="14" spans="1:36">
      <c r="A14" s="4" t="s">
        <v>81</v>
      </c>
      <c r="B14" s="5">
        <f>IF($A14="","",SUMIFS('4K حموده'!$D:$D,'4K حموده'!$C:$C,$A14,'4K حموده'!$F:$F,"&lt;&gt;")-SUMIFS('4K حموده'!$D:$D,'4K حموده'!$C:$C,$A14,'4K حموده'!$G:$G,"&lt;&gt;",'4K حموده'!$F:$F,""))</f>
        <v>0</v>
      </c>
      <c r="C14" s="5">
        <f>IF($A14="","",SUMIFS('مكتب القاضي'!$D:$D,'مكتب القاضي'!$C:$C,$A14,'مكتب القاضي'!$F:$F,"&lt;&gt;")-SUMIFS('مكتب القاضي'!$D:$D,'مكتب القاضي'!$C:$C,$A14,'مكتب القاضي'!$G:$G,"&lt;&gt;",'مكتب القاضي'!$F:$F,""))</f>
        <v>0</v>
      </c>
      <c r="D14" s="5">
        <f>IF($A14="","",SUMIFS(الاتشو!$D:$D,الاتشو!$C:$C,$A14,الاتشو!$F:$F,"&lt;&gt;")-SUMIFS(الاتشو!$D:$D,الاتشو!$C:$C,$A14,الاتشو!$G:$G,"&lt;&gt;",الاتشو!$F:$F,""))</f>
        <v>0</v>
      </c>
      <c r="E14" s="5">
        <f>IF($A14="","",SUMIFS('علاء بوم ارض النت'!$D:$D,'علاء بوم ارض النت'!$C:$C,$A14,'علاء بوم ارض النت'!$F:$F,"&lt;&gt;")-SUMIFS('علاء بوم ارض النت'!$D:$D,'علاء بوم ارض النت'!$C:$C,$A14,'علاء بوم ارض النت'!$G:$G,"&lt;&gt;",'علاء بوم ارض النت'!$F:$F,""))</f>
        <v>20</v>
      </c>
      <c r="F14" s="5">
        <f>IF($A14="","",SUMIFS('كيمو ميت ابو خالد'!$D:$D,'كيمو ميت ابو خالد'!$C:$C,$A14,'كيمو ميت ابو خالد'!$F:$F,"&lt;&gt;")-SUMIFS('كيمو ميت ابو خالد'!$D:$D,'كيمو ميت ابو خالد'!$C:$C,$A14,'كيمو ميت ابو خالد'!$G:$G,"&lt;&gt;",'كيمو ميت ابو خالد'!$F:$F,""))</f>
        <v>0</v>
      </c>
      <c r="G14" s="5">
        <f>IF($A14="","",SUMIFS(KAZO!$D:$D,KAZO!$C:$C,$A14,KAZO!$F:$F,"&lt;&gt;")-SUMIFS(KAZO!$D:$D,KAZO!$C:$C,$A14,KAZO!$G:$G,"&lt;&gt;",KAZO!$F:$F,""))</f>
        <v>0</v>
      </c>
      <c r="H14" s="5">
        <f>IF($A14="","",SUMIFS(LAFY!$D:$D,LAFY!$C:$C,$A14,LAFY!$F:$F,"&lt;&gt;")-SUMIFS(LAFY!$D:$D,LAFY!$C:$C,$A14,LAFY!$G:$G,"&lt;&gt;",LAFY!$F:$F,""))</f>
        <v>0</v>
      </c>
      <c r="I14" s="5">
        <f>IF($A14="","",SUMIFS('POINT زفتي (جديد)'!$D:$D,'POINT زفتي (جديد)'!$C:$C,$A14,'POINT زفتي (جديد)'!$F:$F,"&lt;&gt;")-SUMIFS('POINT زفتي (جديد)'!$D:$D,'POINT زفتي (جديد)'!$C:$C,$A14,'POINT زفتي (جديد)'!$G:$G,"&lt;&gt;",'POINT زفتي (جديد)'!$F:$F,""))</f>
        <v>0</v>
      </c>
      <c r="J14" s="5">
        <f>IF($A14="","",SUMIFS('POINT سعد زغلول (قديم)'!$D:$D,'POINT سعد زغلول (قديم)'!$C:$C,$A14,'POINT سعد زغلول (قديم)'!$F:$F,"&lt;&gt;")-SUMIFS('POINT سعد زغلول (قديم)'!$D:$D,'POINT سعد زغلول (قديم)'!$C:$C,$A14,'POINT سعد زغلول (قديم)'!$G:$G,"&lt;&gt;",'POINT سعد زغلول (قديم)'!$F:$F,""))</f>
        <v>0</v>
      </c>
      <c r="K14" s="5">
        <f>IF($A14="","",SUMIFS('POWER ارض النت'!$D:$D,'POWER ارض النت'!$C:$C,$A14,'POWER ارض النت'!$F:$F,"&lt;&gt;")-SUMIFS('POWER ارض النت'!$D:$D,'POWER ارض النت'!$C:$C,$A14,'POWER ارض النت'!$G:$G,"&lt;&gt;",'POWER ارض النت'!$F:$F,""))</f>
        <v>0</v>
      </c>
      <c r="L14" s="5">
        <f>IF($A14="","",SUMIFS('POWER زفتي'!$D:$D,'POWER زفتي'!$C:$C,$A14,'POWER زفتي'!$F:$F,"&lt;&gt;")-SUMIFS('POWER زفتي'!$D:$D,'POWER زفتي'!$C:$C,$A14,'POWER زفتي'!$G:$G,"&lt;&gt;",'POWER زفتي'!$F:$F,""))</f>
        <v>0</v>
      </c>
      <c r="M14" s="5">
        <f>IF($A14="","",SUMIFS('احمد المنوفي'!$D:$D,'احمد المنوفي'!$C:$C,$A14,'احمد المنوفي'!$F:$F,"&lt;&gt;")-SUMIFS('احمد المنوفي'!$D:$D,'احمد المنوفي'!$C:$C,$A14,'احمد المنوفي'!$G:$G,"&lt;&gt;",'احمد المنوفي'!$F:$F,""))</f>
        <v>0</v>
      </c>
      <c r="N14" s="5">
        <f>IF($A14="","",SUMIFS(السفير!$D:$D,السفير!$C:$C,$A14,السفير!$F:$F,"&lt;&gt;")-SUMIFS(السفير!$D:$D,السفير!$C:$C,$A14,السفير!$G:$G,"&lt;&gt;",السفير!$F:$F,""))</f>
        <v>0</v>
      </c>
      <c r="O14" s="5">
        <f>IF($A14="","",SUMIFS(العالمي!$D:$D,العالمي!$C:$C,$A14,العالمي!$F:$F,"&lt;&gt;")-SUMIFS(العالمي!$D:$D,العالمي!$C:$C,$A14,العالمي!$G:$G,"&lt;&gt;",العالمي!$F:$F,""))</f>
        <v>0</v>
      </c>
      <c r="P14" s="5">
        <f>IF($A14="","",SUMIFS('باهي التركي'!$D:$D,'باهي التركي'!$C:$C,$A14,'باهي التركي'!$F:$F,"&lt;&gt;")-SUMIFS('باهي التركي'!$D:$D,'باهي التركي'!$C:$C,$A14,'باهي التركي'!$G:$G,"&lt;&gt;",'باهي التركي'!$F:$F,""))</f>
        <v>0</v>
      </c>
      <c r="Q14" s="5">
        <f>IF($A14="","",SUMIFS('توتي دماص'!$D:$D,'توتي دماص'!$C:$C,$A14,'توتي دماص'!$F:$F,"&lt;&gt;")-SUMIFS('توتي دماص'!$D:$D,'توتي دماص'!$C:$C,$A14,'توتي دماص'!$G:$G,"&lt;&gt;",'توتي دماص'!$F:$F,""))</f>
        <v>0</v>
      </c>
      <c r="R14" s="5">
        <f>IF($A14="","",SUMIFS('رضا محمد'!$D:$D,'رضا محمد'!$C:$C,$A14,'رضا محمد'!$F:$F,"&lt;&gt;")-SUMIFS('رضا محمد'!$D:$D,'رضا محمد'!$C:$C,$A14,'رضا محمد'!$G:$G,"&lt;&gt;",'رضا محمد'!$F:$F,""))</f>
        <v>0</v>
      </c>
      <c r="S14" s="5">
        <f>IF($A14="","",SUMIFS('زومبي العشري'!$D:$D,'زومبي العشري'!$C:$C,$A14,'زومبي العشري'!$F:$F,"&lt;&gt;")-SUMIFS('زومبي العشري'!$D:$D,'زومبي العشري'!$C:$C,$A14,'زومبي العشري'!$G:$G,"&lt;&gt;",'زومبي العشري'!$F:$F,""))</f>
        <v>0</v>
      </c>
      <c r="T14" s="5">
        <f>IF($A14="","",SUMIFS('محمد عرابي'!$D:$D,'محمد عرابي'!$C:$C,$A14,'محمد عرابي'!$F:$F,"&lt;&gt;")-SUMIFS('محمد عرابي'!$D:$D,'محمد عرابي'!$C:$C,$A14,'محمد عرابي'!$G:$G,"&lt;&gt;",'محمد عرابي'!$F:$F,""))</f>
        <v>0</v>
      </c>
      <c r="U14" s="5">
        <f>IF($A14="","",SUMIFS('عم جمال'!$D:$D,'عم جمال'!$C:$C,$A14,'عم جمال'!$F:$F,"&lt;&gt;")-SUMIFS('عم جمال'!$D:$D,'عم جمال'!$C:$C,$A14,'عم جمال'!$G:$G,"&lt;&gt;",'عم جمال'!$F:$F,""))</f>
        <v>0</v>
      </c>
      <c r="V14" s="5">
        <f>IF($A14="","",SUMIFS('فاير سيليكت'!$D:$D,'فاير سيليكت'!$C:$C,$A14,'فاير سيليكت'!$F:$F,"&lt;&gt;")-SUMIFS('فاير سيليكت'!$D:$D,'فاير سيليكت'!$C:$C,$A14,'فاير سيليكت'!$G:$G,"&lt;&gt;",'فاير سيليكت'!$F:$F,""))</f>
        <v>0</v>
      </c>
      <c r="W14" s="5">
        <f>IF($A14="","",SUMIFS(فرانكو!$D:$D,فرانكو!$C:$C,$A14,فرانكو!$F:$F,"&lt;&gt;")-SUMIFS(فرانكو!$D:$D,فرانكو!$C:$C,$A14,فرانكو!$G:$G,"&lt;&gt;",فرانكو!$F:$F,""))</f>
        <v>0</v>
      </c>
      <c r="X14" s="5">
        <f>IF($A14="","",SUMIFS('كريم بكر'!$D:$D,'كريم بكر'!$C:$C,$A14,'كريم بكر'!$F:$F,"&lt;&gt;")-SUMIFS('كريم بكر'!$D:$D,'كريم بكر'!$C:$C,$A14,'كريم بكر'!$G:$G,"&lt;&gt;",'كريم بكر'!$F:$F,""))</f>
        <v>0</v>
      </c>
      <c r="Y14" s="5">
        <f>IF($A14="","",SUMIFS(بفرا!$D:$D,بفرا!$C:$C,$A14,بفرا!$F:$F,"&lt;&gt;")-SUMIFS(بفرا!$D:$D,بفرا!$C:$C,$A14,بفرا!$G:$G,"&lt;&gt;",بفرا!$F:$F,""))</f>
        <v>0</v>
      </c>
      <c r="Z14" s="5">
        <f>IF($A14="","",SUMIFS('محل كوم النور'!$D:$D,'محل كوم النور'!$C:$C,$A14,'محل كوم النور'!$F:$F,"&lt;&gt;")-SUMIFS('محل كوم النور'!$D:$D,'محل كوم النور'!$C:$C,$A14,'محل كوم النور'!$G:$G,"&lt;&gt;",'محل كوم النور'!$F:$F,""))</f>
        <v>0</v>
      </c>
      <c r="AA14" s="5">
        <f>IF($A14="","",SUMIFS('محمد النجار'!$D:$D,'محمد النجار'!$C:$C,$A14,'محمد النجار'!$F:$F,"&lt;&gt;")-SUMIFS('محمد النجار'!$D:$D,'محمد النجار'!$C:$C,$A14,'محمد النجار'!$G:$G,"&lt;&gt;",'محمد النجار'!$F:$F,""))</f>
        <v>0</v>
      </c>
      <c r="AB14" s="5">
        <f>IF($A14="","",SUMIFS('محمود عبدالرسول'!$D:$D,'محمود عبدالرسول'!$C:$C,$A14,'محمود عبدالرسول'!$F:$F,"&lt;&gt;")-SUMIFS('محمود عبدالرسول'!$D:$D,'محمود عبدالرسول'!$C:$C,$A14,'محمود عبدالرسول'!$G:$G,"&lt;&gt;",'محمود عبدالرسول'!$F:$F,""))</f>
        <v>0</v>
      </c>
      <c r="AC14" s="5">
        <f>IF($A14="","",SUMIFS('مول المصطفي'!$D:$D,'مول المصطفي'!$C:$C,$A14,'مول المصطفي'!$F:$F,"&lt;&gt;")-SUMIFS('مول المصطفي'!$D:$D,'مول المصطفي'!$C:$C,$A14,'مول المصطفي'!$G:$G,"&lt;&gt;",'مول المصطفي'!$F:$F,""))</f>
        <v>0</v>
      </c>
      <c r="AD14" s="5">
        <f>IF($A14="","",SUMIFS(مصانع!$D:$D,مصانع!$C:$C,$A14,مصانع!$F:$F,"&lt;&gt;")-SUMIFS(مصانع!$D:$D,مصانع!$C:$C,$A14,مصانع!$G:$G,"&lt;&gt;",مصانع!$F:$F,""))</f>
        <v>0</v>
      </c>
      <c r="AE14" s="6">
        <f t="shared" si="0"/>
        <v>20</v>
      </c>
      <c r="AF14" s="7" t="s">
        <v>82</v>
      </c>
      <c r="AG14" s="8">
        <v>24</v>
      </c>
      <c r="AH14" s="9">
        <f t="shared" si="1"/>
        <v>4</v>
      </c>
      <c r="AI14" s="8">
        <v>385</v>
      </c>
      <c r="AJ14" s="6">
        <f t="shared" si="2"/>
        <v>1540</v>
      </c>
    </row>
    <row r="15" spans="1:36">
      <c r="A15" s="4" t="s">
        <v>83</v>
      </c>
      <c r="B15" s="5">
        <f>IF($A15="","",SUMIFS('4K حموده'!$D:$D,'4K حموده'!$C:$C,$A15,'4K حموده'!$F:$F,"&lt;&gt;")-SUMIFS('4K حموده'!$D:$D,'4K حموده'!$C:$C,$A15,'4K حموده'!$G:$G,"&lt;&gt;",'4K حموده'!$F:$F,""))</f>
        <v>0</v>
      </c>
      <c r="C15" s="5">
        <f>IF($A15="","",SUMIFS('مكتب القاضي'!$D:$D,'مكتب القاضي'!$C:$C,$A15,'مكتب القاضي'!$F:$F,"&lt;&gt;")-SUMIFS('مكتب القاضي'!$D:$D,'مكتب القاضي'!$C:$C,$A15,'مكتب القاضي'!$G:$G,"&lt;&gt;",'مكتب القاضي'!$F:$F,""))</f>
        <v>0</v>
      </c>
      <c r="D15" s="5">
        <f>IF($A15="","",SUMIFS(الاتشو!$D:$D,الاتشو!$C:$C,$A15,الاتشو!$F:$F,"&lt;&gt;")-SUMIFS(الاتشو!$D:$D,الاتشو!$C:$C,$A15,الاتشو!$G:$G,"&lt;&gt;",الاتشو!$F:$F,""))</f>
        <v>0</v>
      </c>
      <c r="E15" s="5">
        <f>IF($A15="","",SUMIFS('علاء بوم ارض النت'!$D:$D,'علاء بوم ارض النت'!$C:$C,$A15,'علاء بوم ارض النت'!$F:$F,"&lt;&gt;")-SUMIFS('علاء بوم ارض النت'!$D:$D,'علاء بوم ارض النت'!$C:$C,$A15,'علاء بوم ارض النت'!$G:$G,"&lt;&gt;",'علاء بوم ارض النت'!$F:$F,""))</f>
        <v>16</v>
      </c>
      <c r="F15" s="5">
        <f>IF($A15="","",SUMIFS('كيمو ميت ابو خالد'!$D:$D,'كيمو ميت ابو خالد'!$C:$C,$A15,'كيمو ميت ابو خالد'!$F:$F,"&lt;&gt;")-SUMIFS('كيمو ميت ابو خالد'!$D:$D,'كيمو ميت ابو خالد'!$C:$C,$A15,'كيمو ميت ابو خالد'!$G:$G,"&lt;&gt;",'كيمو ميت ابو خالد'!$F:$F,""))</f>
        <v>0</v>
      </c>
      <c r="G15" s="5">
        <f>IF($A15="","",SUMIFS(KAZO!$D:$D,KAZO!$C:$C,$A15,KAZO!$F:$F,"&lt;&gt;")-SUMIFS(KAZO!$D:$D,KAZO!$C:$C,$A15,KAZO!$G:$G,"&lt;&gt;",KAZO!$F:$F,""))</f>
        <v>0</v>
      </c>
      <c r="H15" s="5">
        <f>IF($A15="","",SUMIFS(LAFY!$D:$D,LAFY!$C:$C,$A15,LAFY!$F:$F,"&lt;&gt;")-SUMIFS(LAFY!$D:$D,LAFY!$C:$C,$A15,LAFY!$G:$G,"&lt;&gt;",LAFY!$F:$F,""))</f>
        <v>0</v>
      </c>
      <c r="I15" s="5">
        <f>IF($A15="","",SUMIFS('POINT زفتي (جديد)'!$D:$D,'POINT زفتي (جديد)'!$C:$C,$A15,'POINT زفتي (جديد)'!$F:$F,"&lt;&gt;")-SUMIFS('POINT زفتي (جديد)'!$D:$D,'POINT زفتي (جديد)'!$C:$C,$A15,'POINT زفتي (جديد)'!$G:$G,"&lt;&gt;",'POINT زفتي (جديد)'!$F:$F,""))</f>
        <v>0</v>
      </c>
      <c r="J15" s="5">
        <f>IF($A15="","",SUMIFS('POINT سعد زغلول (قديم)'!$D:$D,'POINT سعد زغلول (قديم)'!$C:$C,$A15,'POINT سعد زغلول (قديم)'!$F:$F,"&lt;&gt;")-SUMIFS('POINT سعد زغلول (قديم)'!$D:$D,'POINT سعد زغلول (قديم)'!$C:$C,$A15,'POINT سعد زغلول (قديم)'!$G:$G,"&lt;&gt;",'POINT سعد زغلول (قديم)'!$F:$F,""))</f>
        <v>0</v>
      </c>
      <c r="K15" s="5">
        <f>IF($A15="","",SUMIFS('POWER ارض النت'!$D:$D,'POWER ارض النت'!$C:$C,$A15,'POWER ارض النت'!$F:$F,"&lt;&gt;")-SUMIFS('POWER ارض النت'!$D:$D,'POWER ارض النت'!$C:$C,$A15,'POWER ارض النت'!$G:$G,"&lt;&gt;",'POWER ارض النت'!$F:$F,""))</f>
        <v>0</v>
      </c>
      <c r="L15" s="5">
        <f>IF($A15="","",SUMIFS('POWER زفتي'!$D:$D,'POWER زفتي'!$C:$C,$A15,'POWER زفتي'!$F:$F,"&lt;&gt;")-SUMIFS('POWER زفتي'!$D:$D,'POWER زفتي'!$C:$C,$A15,'POWER زفتي'!$G:$G,"&lt;&gt;",'POWER زفتي'!$F:$F,""))</f>
        <v>0</v>
      </c>
      <c r="M15" s="5">
        <f>IF($A15="","",SUMIFS('احمد المنوفي'!$D:$D,'احمد المنوفي'!$C:$C,$A15,'احمد المنوفي'!$F:$F,"&lt;&gt;")-SUMIFS('احمد المنوفي'!$D:$D,'احمد المنوفي'!$C:$C,$A15,'احمد المنوفي'!$G:$G,"&lt;&gt;",'احمد المنوفي'!$F:$F,""))</f>
        <v>0</v>
      </c>
      <c r="N15" s="5">
        <f>IF($A15="","",SUMIFS(السفير!$D:$D,السفير!$C:$C,$A15,السفير!$F:$F,"&lt;&gt;")-SUMIFS(السفير!$D:$D,السفير!$C:$C,$A15,السفير!$G:$G,"&lt;&gt;",السفير!$F:$F,""))</f>
        <v>0</v>
      </c>
      <c r="O15" s="5">
        <f>IF($A15="","",SUMIFS(العالمي!$D:$D,العالمي!$C:$C,$A15,العالمي!$F:$F,"&lt;&gt;")-SUMIFS(العالمي!$D:$D,العالمي!$C:$C,$A15,العالمي!$G:$G,"&lt;&gt;",العالمي!$F:$F,""))</f>
        <v>0</v>
      </c>
      <c r="P15" s="5">
        <f>IF($A15="","",SUMIFS('باهي التركي'!$D:$D,'باهي التركي'!$C:$C,$A15,'باهي التركي'!$F:$F,"&lt;&gt;")-SUMIFS('باهي التركي'!$D:$D,'باهي التركي'!$C:$C,$A15,'باهي التركي'!$G:$G,"&lt;&gt;",'باهي التركي'!$F:$F,""))</f>
        <v>0</v>
      </c>
      <c r="Q15" s="5">
        <f>IF($A15="","",SUMIFS('توتي دماص'!$D:$D,'توتي دماص'!$C:$C,$A15,'توتي دماص'!$F:$F,"&lt;&gt;")-SUMIFS('توتي دماص'!$D:$D,'توتي دماص'!$C:$C,$A15,'توتي دماص'!$G:$G,"&lt;&gt;",'توتي دماص'!$F:$F,""))</f>
        <v>0</v>
      </c>
      <c r="R15" s="5">
        <f>IF($A15="","",SUMIFS('رضا محمد'!$D:$D,'رضا محمد'!$C:$C,$A15,'رضا محمد'!$F:$F,"&lt;&gt;")-SUMIFS('رضا محمد'!$D:$D,'رضا محمد'!$C:$C,$A15,'رضا محمد'!$G:$G,"&lt;&gt;",'رضا محمد'!$F:$F,""))</f>
        <v>0</v>
      </c>
      <c r="S15" s="5">
        <f>IF($A15="","",SUMIFS('زومبي العشري'!$D:$D,'زومبي العشري'!$C:$C,$A15,'زومبي العشري'!$F:$F,"&lt;&gt;")-SUMIFS('زومبي العشري'!$D:$D,'زومبي العشري'!$C:$C,$A15,'زومبي العشري'!$G:$G,"&lt;&gt;",'زومبي العشري'!$F:$F,""))</f>
        <v>8</v>
      </c>
      <c r="T15" s="5">
        <f>IF($A15="","",SUMIFS('محمد عرابي'!$D:$D,'محمد عرابي'!$C:$C,$A15,'محمد عرابي'!$F:$F,"&lt;&gt;")-SUMIFS('محمد عرابي'!$D:$D,'محمد عرابي'!$C:$C,$A15,'محمد عرابي'!$G:$G,"&lt;&gt;",'محمد عرابي'!$F:$F,""))</f>
        <v>0</v>
      </c>
      <c r="U15" s="5">
        <f>IF($A15="","",SUMIFS('عم جمال'!$D:$D,'عم جمال'!$C:$C,$A15,'عم جمال'!$F:$F,"&lt;&gt;")-SUMIFS('عم جمال'!$D:$D,'عم جمال'!$C:$C,$A15,'عم جمال'!$G:$G,"&lt;&gt;",'عم جمال'!$F:$F,""))</f>
        <v>0</v>
      </c>
      <c r="V15" s="5">
        <f>IF($A15="","",SUMIFS('فاير سيليكت'!$D:$D,'فاير سيليكت'!$C:$C,$A15,'فاير سيليكت'!$F:$F,"&lt;&gt;")-SUMIFS('فاير سيليكت'!$D:$D,'فاير سيليكت'!$C:$C,$A15,'فاير سيليكت'!$G:$G,"&lt;&gt;",'فاير سيليكت'!$F:$F,""))</f>
        <v>0</v>
      </c>
      <c r="W15" s="5">
        <f>IF($A15="","",SUMIFS(فرانكو!$D:$D,فرانكو!$C:$C,$A15,فرانكو!$F:$F,"&lt;&gt;")-SUMIFS(فرانكو!$D:$D,فرانكو!$C:$C,$A15,فرانكو!$G:$G,"&lt;&gt;",فرانكو!$F:$F,""))</f>
        <v>0</v>
      </c>
      <c r="X15" s="5">
        <f>IF($A15="","",SUMIFS('كريم بكر'!$D:$D,'كريم بكر'!$C:$C,$A15,'كريم بكر'!$F:$F,"&lt;&gt;")-SUMIFS('كريم بكر'!$D:$D,'كريم بكر'!$C:$C,$A15,'كريم بكر'!$G:$G,"&lt;&gt;",'كريم بكر'!$F:$F,""))</f>
        <v>0</v>
      </c>
      <c r="Y15" s="5">
        <f>IF($A15="","",SUMIFS(بفرا!$D:$D,بفرا!$C:$C,$A15,بفرا!$F:$F,"&lt;&gt;")-SUMIFS(بفرا!$D:$D,بفرا!$C:$C,$A15,بفرا!$G:$G,"&lt;&gt;",بفرا!$F:$F,""))</f>
        <v>0</v>
      </c>
      <c r="Z15" s="5">
        <f>IF($A15="","",SUMIFS('محل كوم النور'!$D:$D,'محل كوم النور'!$C:$C,$A15,'محل كوم النور'!$F:$F,"&lt;&gt;")-SUMIFS('محل كوم النور'!$D:$D,'محل كوم النور'!$C:$C,$A15,'محل كوم النور'!$G:$G,"&lt;&gt;",'محل كوم النور'!$F:$F,""))</f>
        <v>0</v>
      </c>
      <c r="AA15" s="5">
        <f>IF($A15="","",SUMIFS('محمد النجار'!$D:$D,'محمد النجار'!$C:$C,$A15,'محمد النجار'!$F:$F,"&lt;&gt;")-SUMIFS('محمد النجار'!$D:$D,'محمد النجار'!$C:$C,$A15,'محمد النجار'!$G:$G,"&lt;&gt;",'محمد النجار'!$F:$F,""))</f>
        <v>0</v>
      </c>
      <c r="AB15" s="5">
        <f>IF($A15="","",SUMIFS('محمود عبدالرسول'!$D:$D,'محمود عبدالرسول'!$C:$C,$A15,'محمود عبدالرسول'!$F:$F,"&lt;&gt;")-SUMIFS('محمود عبدالرسول'!$D:$D,'محمود عبدالرسول'!$C:$C,$A15,'محمود عبدالرسول'!$G:$G,"&lt;&gt;",'محمود عبدالرسول'!$F:$F,""))</f>
        <v>0</v>
      </c>
      <c r="AC15" s="5">
        <f>IF($A15="","",SUMIFS('مول المصطفي'!$D:$D,'مول المصطفي'!$C:$C,$A15,'مول المصطفي'!$F:$F,"&lt;&gt;")-SUMIFS('مول المصطفي'!$D:$D,'مول المصطفي'!$C:$C,$A15,'مول المصطفي'!$G:$G,"&lt;&gt;",'مول المصطفي'!$F:$F,""))</f>
        <v>0</v>
      </c>
      <c r="AD15" s="5">
        <f>IF($A15="","",SUMIFS(مصانع!$D:$D,مصانع!$C:$C,$A15,مصانع!$F:$F,"&lt;&gt;")-SUMIFS(مصانع!$D:$D,مصانع!$C:$C,$A15,مصانع!$G:$G,"&lt;&gt;",مصانع!$F:$F,""))</f>
        <v>0</v>
      </c>
      <c r="AE15" s="6">
        <f t="shared" si="0"/>
        <v>24</v>
      </c>
      <c r="AF15" s="7" t="s">
        <v>84</v>
      </c>
      <c r="AG15" s="8">
        <v>24</v>
      </c>
      <c r="AH15" s="9">
        <f t="shared" si="1"/>
        <v>0</v>
      </c>
      <c r="AI15" s="8">
        <v>385</v>
      </c>
      <c r="AJ15" s="6">
        <f t="shared" si="2"/>
        <v>0</v>
      </c>
    </row>
    <row r="16" spans="1:36">
      <c r="A16" s="4" t="s">
        <v>86</v>
      </c>
      <c r="B16" s="5">
        <f>IF($A16="","",SUMIFS('4K حموده'!$D:$D,'4K حموده'!$C:$C,$A16,'4K حموده'!$F:$F,"&lt;&gt;")-SUMIFS('4K حموده'!$D:$D,'4K حموده'!$C:$C,$A16,'4K حموده'!$G:$G,"&lt;&gt;",'4K حموده'!$F:$F,""))</f>
        <v>0</v>
      </c>
      <c r="C16" s="5">
        <f>IF($A16="","",SUMIFS('مكتب القاضي'!$D:$D,'مكتب القاضي'!$C:$C,$A16,'مكتب القاضي'!$F:$F,"&lt;&gt;")-SUMIFS('مكتب القاضي'!$D:$D,'مكتب القاضي'!$C:$C,$A16,'مكتب القاضي'!$G:$G,"&lt;&gt;",'مكتب القاضي'!$F:$F,""))</f>
        <v>0</v>
      </c>
      <c r="D16" s="5">
        <f>IF($A16="","",SUMIFS(الاتشو!$D:$D,الاتشو!$C:$C,$A16,الاتشو!$F:$F,"&lt;&gt;")-SUMIFS(الاتشو!$D:$D,الاتشو!$C:$C,$A16,الاتشو!$G:$G,"&lt;&gt;",الاتشو!$F:$F,""))</f>
        <v>0</v>
      </c>
      <c r="E16" s="5">
        <f>IF($A16="","",SUMIFS('علاء بوم ارض النت'!$D:$D,'علاء بوم ارض النت'!$C:$C,$A16,'علاء بوم ارض النت'!$F:$F,"&lt;&gt;")-SUMIFS('علاء بوم ارض النت'!$D:$D,'علاء بوم ارض النت'!$C:$C,$A16,'علاء بوم ارض النت'!$G:$G,"&lt;&gt;",'علاء بوم ارض النت'!$F:$F,""))</f>
        <v>4</v>
      </c>
      <c r="F16" s="5">
        <f>IF($A16="","",SUMIFS('كيمو ميت ابو خالد'!$D:$D,'كيمو ميت ابو خالد'!$C:$C,$A16,'كيمو ميت ابو خالد'!$F:$F,"&lt;&gt;")-SUMIFS('كيمو ميت ابو خالد'!$D:$D,'كيمو ميت ابو خالد'!$C:$C,$A16,'كيمو ميت ابو خالد'!$G:$G,"&lt;&gt;",'كيمو ميت ابو خالد'!$F:$F,""))</f>
        <v>0</v>
      </c>
      <c r="G16" s="5">
        <f>IF($A16="","",SUMIFS(KAZO!$D:$D,KAZO!$C:$C,$A16,KAZO!$F:$F,"&lt;&gt;")-SUMIFS(KAZO!$D:$D,KAZO!$C:$C,$A16,KAZO!$G:$G,"&lt;&gt;",KAZO!$F:$F,""))</f>
        <v>0</v>
      </c>
      <c r="H16" s="5">
        <f>IF($A16="","",SUMIFS(LAFY!$D:$D,LAFY!$C:$C,$A16,LAFY!$F:$F,"&lt;&gt;")-SUMIFS(LAFY!$D:$D,LAFY!$C:$C,$A16,LAFY!$G:$G,"&lt;&gt;",LAFY!$F:$F,""))</f>
        <v>0</v>
      </c>
      <c r="I16" s="5">
        <f>IF($A16="","",SUMIFS('POINT زفتي (جديد)'!$D:$D,'POINT زفتي (جديد)'!$C:$C,$A16,'POINT زفتي (جديد)'!$F:$F,"&lt;&gt;")-SUMIFS('POINT زفتي (جديد)'!$D:$D,'POINT زفتي (جديد)'!$C:$C,$A16,'POINT زفتي (جديد)'!$G:$G,"&lt;&gt;",'POINT زفتي (جديد)'!$F:$F,""))</f>
        <v>0</v>
      </c>
      <c r="J16" s="5">
        <f>IF($A16="","",SUMIFS('POINT سعد زغلول (قديم)'!$D:$D,'POINT سعد زغلول (قديم)'!$C:$C,$A16,'POINT سعد زغلول (قديم)'!$F:$F,"&lt;&gt;")-SUMIFS('POINT سعد زغلول (قديم)'!$D:$D,'POINT سعد زغلول (قديم)'!$C:$C,$A16,'POINT سعد زغلول (قديم)'!$G:$G,"&lt;&gt;",'POINT سعد زغلول (قديم)'!$F:$F,""))</f>
        <v>0</v>
      </c>
      <c r="K16" s="5">
        <f>IF($A16="","",SUMIFS('POWER ارض النت'!$D:$D,'POWER ارض النت'!$C:$C,$A16,'POWER ارض النت'!$F:$F,"&lt;&gt;")-SUMIFS('POWER ارض النت'!$D:$D,'POWER ارض النت'!$C:$C,$A16,'POWER ارض النت'!$G:$G,"&lt;&gt;",'POWER ارض النت'!$F:$F,""))</f>
        <v>0</v>
      </c>
      <c r="L16" s="5">
        <f>IF($A16="","",SUMIFS('POWER زفتي'!$D:$D,'POWER زفتي'!$C:$C,$A16,'POWER زفتي'!$F:$F,"&lt;&gt;")-SUMIFS('POWER زفتي'!$D:$D,'POWER زفتي'!$C:$C,$A16,'POWER زفتي'!$G:$G,"&lt;&gt;",'POWER زفتي'!$F:$F,""))</f>
        <v>0</v>
      </c>
      <c r="M16" s="5">
        <f>IF($A16="","",SUMIFS('احمد المنوفي'!$D:$D,'احمد المنوفي'!$C:$C,$A16,'احمد المنوفي'!$F:$F,"&lt;&gt;")-SUMIFS('احمد المنوفي'!$D:$D,'احمد المنوفي'!$C:$C,$A16,'احمد المنوفي'!$G:$G,"&lt;&gt;",'احمد المنوفي'!$F:$F,""))</f>
        <v>0</v>
      </c>
      <c r="N16" s="5">
        <f>IF($A16="","",SUMIFS(السفير!$D:$D,السفير!$C:$C,$A16,السفير!$F:$F,"&lt;&gt;")-SUMIFS(السفير!$D:$D,السفير!$C:$C,$A16,السفير!$G:$G,"&lt;&gt;",السفير!$F:$F,""))</f>
        <v>0</v>
      </c>
      <c r="O16" s="5">
        <f>IF($A16="","",SUMIFS(العالمي!$D:$D,العالمي!$C:$C,$A16,العالمي!$F:$F,"&lt;&gt;")-SUMIFS(العالمي!$D:$D,العالمي!$C:$C,$A16,العالمي!$G:$G,"&lt;&gt;",العالمي!$F:$F,""))</f>
        <v>0</v>
      </c>
      <c r="P16" s="5">
        <f>IF($A16="","",SUMIFS('باهي التركي'!$D:$D,'باهي التركي'!$C:$C,$A16,'باهي التركي'!$F:$F,"&lt;&gt;")-SUMIFS('باهي التركي'!$D:$D,'باهي التركي'!$C:$C,$A16,'باهي التركي'!$G:$G,"&lt;&gt;",'باهي التركي'!$F:$F,""))</f>
        <v>0</v>
      </c>
      <c r="Q16" s="5">
        <f>IF($A16="","",SUMIFS('توتي دماص'!$D:$D,'توتي دماص'!$C:$C,$A16,'توتي دماص'!$F:$F,"&lt;&gt;")-SUMIFS('توتي دماص'!$D:$D,'توتي دماص'!$C:$C,$A16,'توتي دماص'!$G:$G,"&lt;&gt;",'توتي دماص'!$F:$F,""))</f>
        <v>0</v>
      </c>
      <c r="R16" s="5">
        <f>IF($A16="","",SUMIFS('رضا محمد'!$D:$D,'رضا محمد'!$C:$C,$A16,'رضا محمد'!$F:$F,"&lt;&gt;")-SUMIFS('رضا محمد'!$D:$D,'رضا محمد'!$C:$C,$A16,'رضا محمد'!$G:$G,"&lt;&gt;",'رضا محمد'!$F:$F,""))</f>
        <v>0</v>
      </c>
      <c r="S16" s="5">
        <f>IF($A16="","",SUMIFS('زومبي العشري'!$D:$D,'زومبي العشري'!$C:$C,$A16,'زومبي العشري'!$F:$F,"&lt;&gt;")-SUMIFS('زومبي العشري'!$D:$D,'زومبي العشري'!$C:$C,$A16,'زومبي العشري'!$G:$G,"&lt;&gt;",'زومبي العشري'!$F:$F,""))</f>
        <v>0</v>
      </c>
      <c r="T16" s="5">
        <f>IF($A16="","",SUMIFS('محمد عرابي'!$D:$D,'محمد عرابي'!$C:$C,$A16,'محمد عرابي'!$F:$F,"&lt;&gt;")-SUMIFS('محمد عرابي'!$D:$D,'محمد عرابي'!$C:$C,$A16,'محمد عرابي'!$G:$G,"&lt;&gt;",'محمد عرابي'!$F:$F,""))</f>
        <v>0</v>
      </c>
      <c r="U16" s="5">
        <f>IF($A16="","",SUMIFS('عم جمال'!$D:$D,'عم جمال'!$C:$C,$A16,'عم جمال'!$F:$F,"&lt;&gt;")-SUMIFS('عم جمال'!$D:$D,'عم جمال'!$C:$C,$A16,'عم جمال'!$G:$G,"&lt;&gt;",'عم جمال'!$F:$F,""))</f>
        <v>0</v>
      </c>
      <c r="V16" s="5">
        <f>IF($A16="","",SUMIFS('فاير سيليكت'!$D:$D,'فاير سيليكت'!$C:$C,$A16,'فاير سيليكت'!$F:$F,"&lt;&gt;")-SUMIFS('فاير سيليكت'!$D:$D,'فاير سيليكت'!$C:$C,$A16,'فاير سيليكت'!$G:$G,"&lt;&gt;",'فاير سيليكت'!$F:$F,""))</f>
        <v>0</v>
      </c>
      <c r="W16" s="5">
        <f>IF($A16="","",SUMIFS(فرانكو!$D:$D,فرانكو!$C:$C,$A16,فرانكو!$F:$F,"&lt;&gt;")-SUMIFS(فرانكو!$D:$D,فرانكو!$C:$C,$A16,فرانكو!$G:$G,"&lt;&gt;",فرانكو!$F:$F,""))</f>
        <v>0</v>
      </c>
      <c r="X16" s="5">
        <f>IF($A16="","",SUMIFS('كريم بكر'!$D:$D,'كريم بكر'!$C:$C,$A16,'كريم بكر'!$F:$F,"&lt;&gt;")-SUMIFS('كريم بكر'!$D:$D,'كريم بكر'!$C:$C,$A16,'كريم بكر'!$G:$G,"&lt;&gt;",'كريم بكر'!$F:$F,""))</f>
        <v>0</v>
      </c>
      <c r="Y16" s="5">
        <f>IF($A16="","",SUMIFS(بفرا!$D:$D,بفرا!$C:$C,$A16,بفرا!$F:$F,"&lt;&gt;")-SUMIFS(بفرا!$D:$D,بفرا!$C:$C,$A16,بفرا!$G:$G,"&lt;&gt;",بفرا!$F:$F,""))</f>
        <v>0</v>
      </c>
      <c r="Z16" s="5">
        <f>IF($A16="","",SUMIFS('محل كوم النور'!$D:$D,'محل كوم النور'!$C:$C,$A16,'محل كوم النور'!$F:$F,"&lt;&gt;")-SUMIFS('محل كوم النور'!$D:$D,'محل كوم النور'!$C:$C,$A16,'محل كوم النور'!$G:$G,"&lt;&gt;",'محل كوم النور'!$F:$F,""))</f>
        <v>0</v>
      </c>
      <c r="AA16" s="5">
        <f>IF($A16="","",SUMIFS('محمد النجار'!$D:$D,'محمد النجار'!$C:$C,$A16,'محمد النجار'!$F:$F,"&lt;&gt;")-SUMIFS('محمد النجار'!$D:$D,'محمد النجار'!$C:$C,$A16,'محمد النجار'!$G:$G,"&lt;&gt;",'محمد النجار'!$F:$F,""))</f>
        <v>0</v>
      </c>
      <c r="AB16" s="5">
        <f>IF($A16="","",SUMIFS('محمود عبدالرسول'!$D:$D,'محمود عبدالرسول'!$C:$C,$A16,'محمود عبدالرسول'!$F:$F,"&lt;&gt;")-SUMIFS('محمود عبدالرسول'!$D:$D,'محمود عبدالرسول'!$C:$C,$A16,'محمود عبدالرسول'!$G:$G,"&lt;&gt;",'محمود عبدالرسول'!$F:$F,""))</f>
        <v>0</v>
      </c>
      <c r="AC16" s="5">
        <f>IF($A16="","",SUMIFS('مول المصطفي'!$D:$D,'مول المصطفي'!$C:$C,$A16,'مول المصطفي'!$F:$F,"&lt;&gt;")-SUMIFS('مول المصطفي'!$D:$D,'مول المصطفي'!$C:$C,$A16,'مول المصطفي'!$G:$G,"&lt;&gt;",'مول المصطفي'!$F:$F,""))</f>
        <v>0</v>
      </c>
      <c r="AD16" s="5">
        <f>IF($A16="","",SUMIFS(مصانع!$D:$D,مصانع!$C:$C,$A16,مصانع!$F:$F,"&lt;&gt;")-SUMIFS(مصانع!$D:$D,مصانع!$C:$C,$A16,مصانع!$G:$G,"&lt;&gt;",مصانع!$F:$F,""))</f>
        <v>0</v>
      </c>
      <c r="AE16" s="6">
        <f t="shared" si="0"/>
        <v>4</v>
      </c>
      <c r="AF16" s="7" t="s">
        <v>87</v>
      </c>
      <c r="AG16" s="8">
        <v>20</v>
      </c>
      <c r="AH16" s="9">
        <f t="shared" si="1"/>
        <v>16</v>
      </c>
      <c r="AI16" s="8">
        <v>385</v>
      </c>
      <c r="AJ16" s="6">
        <f t="shared" si="2"/>
        <v>6160</v>
      </c>
    </row>
    <row r="17" spans="1:36" ht="13.2" customHeight="1">
      <c r="A17" s="4" t="s">
        <v>93</v>
      </c>
      <c r="B17" s="5">
        <f>IF($A17="","",SUMIFS('4K حموده'!$D:$D,'4K حموده'!$C:$C,$A17,'4K حموده'!$F:$F,"&lt;&gt;")-SUMIFS('4K حموده'!$D:$D,'4K حموده'!$C:$C,$A17,'4K حموده'!$G:$G,"&lt;&gt;",'4K حموده'!$F:$F,""))</f>
        <v>8</v>
      </c>
      <c r="C17" s="5">
        <f>IF($A17="","",SUMIFS('مكتب القاضي'!$D:$D,'مكتب القاضي'!$C:$C,$A17,'مكتب القاضي'!$F:$F,"&lt;&gt;")-SUMIFS('مكتب القاضي'!$D:$D,'مكتب القاضي'!$C:$C,$A17,'مكتب القاضي'!$G:$G,"&lt;&gt;",'مكتب القاضي'!$F:$F,""))</f>
        <v>0</v>
      </c>
      <c r="D17" s="5">
        <f>IF($A17="","",SUMIFS(الاتشو!$D:$D,الاتشو!$C:$C,$A17,الاتشو!$F:$F,"&lt;&gt;")-SUMIFS(الاتشو!$D:$D,الاتشو!$C:$C,$A17,الاتشو!$G:$G,"&lt;&gt;",الاتشو!$F:$F,""))</f>
        <v>0</v>
      </c>
      <c r="E17" s="5">
        <f>IF($A17="","",SUMIFS('علاء بوم ارض النت'!$D:$D,'علاء بوم ارض النت'!$C:$C,$A17,'علاء بوم ارض النت'!$F:$F,"&lt;&gt;")-SUMIFS('علاء بوم ارض النت'!$D:$D,'علاء بوم ارض النت'!$C:$C,$A17,'علاء بوم ارض النت'!$G:$G,"&lt;&gt;",'علاء بوم ارض النت'!$F:$F,""))</f>
        <v>28</v>
      </c>
      <c r="F17" s="5">
        <f>IF($A17="","",SUMIFS('كيمو ميت ابو خالد'!$D:$D,'كيمو ميت ابو خالد'!$C:$C,$A17,'كيمو ميت ابو خالد'!$F:$F,"&lt;&gt;")-SUMIFS('كيمو ميت ابو خالد'!$D:$D,'كيمو ميت ابو خالد'!$C:$C,$A17,'كيمو ميت ابو خالد'!$G:$G,"&lt;&gt;",'كيمو ميت ابو خالد'!$F:$F,""))</f>
        <v>0</v>
      </c>
      <c r="G17" s="5">
        <f>IF($A17="","",SUMIFS(KAZO!$D:$D,KAZO!$C:$C,$A17,KAZO!$F:$F,"&lt;&gt;")-SUMIFS(KAZO!$D:$D,KAZO!$C:$C,$A17,KAZO!$G:$G,"&lt;&gt;",KAZO!$F:$F,""))</f>
        <v>0</v>
      </c>
      <c r="H17" s="5">
        <f>IF($A17="","",SUMIFS(LAFY!$D:$D,LAFY!$C:$C,$A17,LAFY!$F:$F,"&lt;&gt;")-SUMIFS(LAFY!$D:$D,LAFY!$C:$C,$A17,LAFY!$G:$G,"&lt;&gt;",LAFY!$F:$F,""))</f>
        <v>0</v>
      </c>
      <c r="I17" s="5">
        <f>IF($A17="","",SUMIFS('POINT زفتي (جديد)'!$D:$D,'POINT زفتي (جديد)'!$C:$C,$A17,'POINT زفتي (جديد)'!$F:$F,"&lt;&gt;")-SUMIFS('POINT زفتي (جديد)'!$D:$D,'POINT زفتي (جديد)'!$C:$C,$A17,'POINT زفتي (جديد)'!$G:$G,"&lt;&gt;",'POINT زفتي (جديد)'!$F:$F,""))</f>
        <v>3</v>
      </c>
      <c r="J17" s="5">
        <f>IF($A17="","",SUMIFS('POINT سعد زغلول (قديم)'!$D:$D,'POINT سعد زغلول (قديم)'!$C:$C,$A17,'POINT سعد زغلول (قديم)'!$F:$F,"&lt;&gt;")-SUMIFS('POINT سعد زغلول (قديم)'!$D:$D,'POINT سعد زغلول (قديم)'!$C:$C,$A17,'POINT سعد زغلول (قديم)'!$G:$G,"&lt;&gt;",'POINT سعد زغلول (قديم)'!$F:$F,""))</f>
        <v>0</v>
      </c>
      <c r="K17" s="5">
        <f>IF($A17="","",SUMIFS('POWER ارض النت'!$D:$D,'POWER ارض النت'!$C:$C,$A17,'POWER ارض النت'!$F:$F,"&lt;&gt;")-SUMIFS('POWER ارض النت'!$D:$D,'POWER ارض النت'!$C:$C,$A17,'POWER ارض النت'!$G:$G,"&lt;&gt;",'POWER ارض النت'!$F:$F,""))</f>
        <v>0</v>
      </c>
      <c r="L17" s="5">
        <f>IF($A17="","",SUMIFS('POWER زفتي'!$D:$D,'POWER زفتي'!$C:$C,$A17,'POWER زفتي'!$F:$F,"&lt;&gt;")-SUMIFS('POWER زفتي'!$D:$D,'POWER زفتي'!$C:$C,$A17,'POWER زفتي'!$G:$G,"&lt;&gt;",'POWER زفتي'!$F:$F,""))</f>
        <v>0</v>
      </c>
      <c r="M17" s="5">
        <f>IF($A17="","",SUMIFS('احمد المنوفي'!$D:$D,'احمد المنوفي'!$C:$C,$A17,'احمد المنوفي'!$F:$F,"&lt;&gt;")-SUMIFS('احمد المنوفي'!$D:$D,'احمد المنوفي'!$C:$C,$A17,'احمد المنوفي'!$G:$G,"&lt;&gt;",'احمد المنوفي'!$F:$F,""))</f>
        <v>0</v>
      </c>
      <c r="N17" s="5">
        <f>IF($A17="","",SUMIFS(السفير!$D:$D,السفير!$C:$C,$A17,السفير!$F:$F,"&lt;&gt;")-SUMIFS(السفير!$D:$D,السفير!$C:$C,$A17,السفير!$G:$G,"&lt;&gt;",السفير!$F:$F,""))</f>
        <v>0</v>
      </c>
      <c r="O17" s="5">
        <f>IF($A17="","",SUMIFS(العالمي!$D:$D,العالمي!$C:$C,$A17,العالمي!$F:$F,"&lt;&gt;")-SUMIFS(العالمي!$D:$D,العالمي!$C:$C,$A17,العالمي!$G:$G,"&lt;&gt;",العالمي!$F:$F,""))</f>
        <v>0</v>
      </c>
      <c r="P17" s="5">
        <f>IF($A17="","",SUMIFS('باهي التركي'!$D:$D,'باهي التركي'!$C:$C,$A17,'باهي التركي'!$F:$F,"&lt;&gt;")-SUMIFS('باهي التركي'!$D:$D,'باهي التركي'!$C:$C,$A17,'باهي التركي'!$G:$G,"&lt;&gt;",'باهي التركي'!$F:$F,""))</f>
        <v>0</v>
      </c>
      <c r="Q17" s="5">
        <f>IF($A17="","",SUMIFS('توتي دماص'!$D:$D,'توتي دماص'!$C:$C,$A17,'توتي دماص'!$F:$F,"&lt;&gt;")-SUMIFS('توتي دماص'!$D:$D,'توتي دماص'!$C:$C,$A17,'توتي دماص'!$G:$G,"&lt;&gt;",'توتي دماص'!$F:$F,""))</f>
        <v>8</v>
      </c>
      <c r="R17" s="5">
        <f>IF($A17="","",SUMIFS('رضا محمد'!$D:$D,'رضا محمد'!$C:$C,$A17,'رضا محمد'!$F:$F,"&lt;&gt;")-SUMIFS('رضا محمد'!$D:$D,'رضا محمد'!$C:$C,$A17,'رضا محمد'!$G:$G,"&lt;&gt;",'رضا محمد'!$F:$F,""))</f>
        <v>0</v>
      </c>
      <c r="S17" s="5">
        <f>IF($A17="","",SUMIFS('زومبي العشري'!$D:$D,'زومبي العشري'!$C:$C,$A17,'زومبي العشري'!$F:$F,"&lt;&gt;")-SUMIFS('زومبي العشري'!$D:$D,'زومبي العشري'!$C:$C,$A17,'زومبي العشري'!$G:$G,"&lt;&gt;",'زومبي العشري'!$F:$F,""))</f>
        <v>0</v>
      </c>
      <c r="T17" s="5">
        <f>IF($A17="","",SUMIFS('محمد عرابي'!$D:$D,'محمد عرابي'!$C:$C,$A17,'محمد عرابي'!$F:$F,"&lt;&gt;")-SUMIFS('محمد عرابي'!$D:$D,'محمد عرابي'!$C:$C,$A17,'محمد عرابي'!$G:$G,"&lt;&gt;",'محمد عرابي'!$F:$F,""))</f>
        <v>0</v>
      </c>
      <c r="U17" s="5">
        <f>IF($A17="","",SUMIFS('عم جمال'!$D:$D,'عم جمال'!$C:$C,$A17,'عم جمال'!$F:$F,"&lt;&gt;")-SUMIFS('عم جمال'!$D:$D,'عم جمال'!$C:$C,$A17,'عم جمال'!$G:$G,"&lt;&gt;",'عم جمال'!$F:$F,""))</f>
        <v>0</v>
      </c>
      <c r="V17" s="5">
        <f>IF($A17="","",SUMIFS('فاير سيليكت'!$D:$D,'فاير سيليكت'!$C:$C,$A17,'فاير سيليكت'!$F:$F,"&lt;&gt;")-SUMIFS('فاير سيليكت'!$D:$D,'فاير سيليكت'!$C:$C,$A17,'فاير سيليكت'!$G:$G,"&lt;&gt;",'فاير سيليكت'!$F:$F,""))</f>
        <v>0</v>
      </c>
      <c r="W17" s="5">
        <f>IF($A17="","",SUMIFS(فرانكو!$D:$D,فرانكو!$C:$C,$A17,فرانكو!$F:$F,"&lt;&gt;")-SUMIFS(فرانكو!$D:$D,فرانكو!$C:$C,$A17,فرانكو!$G:$G,"&lt;&gt;",فرانكو!$F:$F,""))</f>
        <v>4</v>
      </c>
      <c r="X17" s="5">
        <f>IF($A17="","",SUMIFS('كريم بكر'!$D:$D,'كريم بكر'!$C:$C,$A17,'كريم بكر'!$F:$F,"&lt;&gt;")-SUMIFS('كريم بكر'!$D:$D,'كريم بكر'!$C:$C,$A17,'كريم بكر'!$G:$G,"&lt;&gt;",'كريم بكر'!$F:$F,""))</f>
        <v>0</v>
      </c>
      <c r="Y17" s="5">
        <f>IF($A17="","",SUMIFS(بفرا!$D:$D,بفرا!$C:$C,$A17,بفرا!$F:$F,"&lt;&gt;")-SUMIFS(بفرا!$D:$D,بفرا!$C:$C,$A17,بفرا!$G:$G,"&lt;&gt;",بفرا!$F:$F,""))</f>
        <v>0</v>
      </c>
      <c r="Z17" s="5">
        <f>IF($A17="","",SUMIFS('محل كوم النور'!$D:$D,'محل كوم النور'!$C:$C,$A17,'محل كوم النور'!$F:$F,"&lt;&gt;")-SUMIFS('محل كوم النور'!$D:$D,'محل كوم النور'!$C:$C,$A17,'محل كوم النور'!$G:$G,"&lt;&gt;",'محل كوم النور'!$F:$F,""))</f>
        <v>0</v>
      </c>
      <c r="AA17" s="5">
        <f>IF($A17="","",SUMIFS('محمد النجار'!$D:$D,'محمد النجار'!$C:$C,$A17,'محمد النجار'!$F:$F,"&lt;&gt;")-SUMIFS('محمد النجار'!$D:$D,'محمد النجار'!$C:$C,$A17,'محمد النجار'!$G:$G,"&lt;&gt;",'محمد النجار'!$F:$F,""))</f>
        <v>8</v>
      </c>
      <c r="AB17" s="5">
        <f>IF($A17="","",SUMIFS('محمود عبدالرسول'!$D:$D,'محمود عبدالرسول'!$C:$C,$A17,'محمود عبدالرسول'!$F:$F,"&lt;&gt;")-SUMIFS('محمود عبدالرسول'!$D:$D,'محمود عبدالرسول'!$C:$C,$A17,'محمود عبدالرسول'!$G:$G,"&lt;&gt;",'محمود عبدالرسول'!$F:$F,""))</f>
        <v>0</v>
      </c>
      <c r="AC17" s="5">
        <f>IF($A17="","",SUMIFS('مول المصطفي'!$D:$D,'مول المصطفي'!$C:$C,$A17,'مول المصطفي'!$F:$F,"&lt;&gt;")-SUMIFS('مول المصطفي'!$D:$D,'مول المصطفي'!$C:$C,$A17,'مول المصطفي'!$G:$G,"&lt;&gt;",'مول المصطفي'!$F:$F,""))</f>
        <v>0</v>
      </c>
      <c r="AD17" s="5">
        <f>IF($A17="","",SUMIFS(مصانع!$D:$D,مصانع!$C:$C,$A17,مصانع!$F:$F,"&lt;&gt;")-SUMIFS(مصانع!$D:$D,مصانع!$C:$C,$A17,مصانع!$G:$G,"&lt;&gt;",مصانع!$F:$F,""))</f>
        <v>0</v>
      </c>
      <c r="AE17" s="6">
        <f t="shared" si="0"/>
        <v>59</v>
      </c>
      <c r="AF17" s="7" t="s">
        <v>87</v>
      </c>
      <c r="AG17" s="8">
        <v>76</v>
      </c>
      <c r="AH17" s="9">
        <f t="shared" si="1"/>
        <v>17</v>
      </c>
      <c r="AI17" s="8"/>
      <c r="AJ17" s="6">
        <f t="shared" si="2"/>
        <v>0</v>
      </c>
    </row>
    <row r="18" spans="1:36">
      <c r="A18" s="4" t="s">
        <v>100</v>
      </c>
      <c r="B18" s="5">
        <f>IF($A18="","",SUMIFS('4K حموده'!$D:$D,'4K حموده'!$C:$C,$A18,'4K حموده'!$F:$F,"&lt;&gt;")-SUMIFS('4K حموده'!$D:$D,'4K حموده'!$C:$C,$A18,'4K حموده'!$G:$G,"&lt;&gt;",'4K حموده'!$F:$F,""))</f>
        <v>0</v>
      </c>
      <c r="C18" s="5">
        <f>IF($A18="","",SUMIFS('مكتب القاضي'!$D:$D,'مكتب القاضي'!$C:$C,$A18,'مكتب القاضي'!$F:$F,"&lt;&gt;")-SUMIFS('مكتب القاضي'!$D:$D,'مكتب القاضي'!$C:$C,$A18,'مكتب القاضي'!$G:$G,"&lt;&gt;",'مكتب القاضي'!$F:$F,""))</f>
        <v>0</v>
      </c>
      <c r="D18" s="5">
        <f>IF($A18="","",SUMIFS(الاتشو!$D:$D,الاتشو!$C:$C,$A18,الاتشو!$F:$F,"&lt;&gt;")-SUMIFS(الاتشو!$D:$D,الاتشو!$C:$C,$A18,الاتشو!$G:$G,"&lt;&gt;",الاتشو!$F:$F,""))</f>
        <v>0</v>
      </c>
      <c r="E18" s="5">
        <f>IF($A18="","",SUMIFS('علاء بوم ارض النت'!$D:$D,'علاء بوم ارض النت'!$C:$C,$A18,'علاء بوم ارض النت'!$F:$F,"&lt;&gt;")-SUMIFS('علاء بوم ارض النت'!$D:$D,'علاء بوم ارض النت'!$C:$C,$A18,'علاء بوم ارض النت'!$G:$G,"&lt;&gt;",'علاء بوم ارض النت'!$F:$F,""))</f>
        <v>16</v>
      </c>
      <c r="F18" s="5">
        <f>IF($A18="","",SUMIFS('كيمو ميت ابو خالد'!$D:$D,'كيمو ميت ابو خالد'!$C:$C,$A18,'كيمو ميت ابو خالد'!$F:$F,"&lt;&gt;")-SUMIFS('كيمو ميت ابو خالد'!$D:$D,'كيمو ميت ابو خالد'!$C:$C,$A18,'كيمو ميت ابو خالد'!$G:$G,"&lt;&gt;",'كيمو ميت ابو خالد'!$F:$F,""))</f>
        <v>0</v>
      </c>
      <c r="G18" s="5">
        <f>IF($A18="","",SUMIFS(KAZO!$D:$D,KAZO!$C:$C,$A18,KAZO!$F:$F,"&lt;&gt;")-SUMIFS(KAZO!$D:$D,KAZO!$C:$C,$A18,KAZO!$G:$G,"&lt;&gt;",KAZO!$F:$F,""))</f>
        <v>0</v>
      </c>
      <c r="H18" s="5">
        <f>IF($A18="","",SUMIFS(LAFY!$D:$D,LAFY!$C:$C,$A18,LAFY!$F:$F,"&lt;&gt;")-SUMIFS(LAFY!$D:$D,LAFY!$C:$C,$A18,LAFY!$G:$G,"&lt;&gt;",LAFY!$F:$F,""))</f>
        <v>24</v>
      </c>
      <c r="I18" s="5">
        <f>IF($A18="","",SUMIFS('POINT زفتي (جديد)'!$D:$D,'POINT زفتي (جديد)'!$C:$C,$A18,'POINT زفتي (جديد)'!$F:$F,"&lt;&gt;")-SUMIFS('POINT زفتي (جديد)'!$D:$D,'POINT زفتي (جديد)'!$C:$C,$A18,'POINT زفتي (جديد)'!$G:$G,"&lt;&gt;",'POINT زفتي (جديد)'!$F:$F,""))</f>
        <v>8</v>
      </c>
      <c r="J18" s="5">
        <f>IF($A18="","",SUMIFS('POINT سعد زغلول (قديم)'!$D:$D,'POINT سعد زغلول (قديم)'!$C:$C,$A18,'POINT سعد زغلول (قديم)'!$F:$F,"&lt;&gt;")-SUMIFS('POINT سعد زغلول (قديم)'!$D:$D,'POINT سعد زغلول (قديم)'!$C:$C,$A18,'POINT سعد زغلول (قديم)'!$G:$G,"&lt;&gt;",'POINT سعد زغلول (قديم)'!$F:$F,""))</f>
        <v>0</v>
      </c>
      <c r="K18" s="5">
        <f>IF($A18="","",SUMIFS('POWER ارض النت'!$D:$D,'POWER ارض النت'!$C:$C,$A18,'POWER ارض النت'!$F:$F,"&lt;&gt;")-SUMIFS('POWER ارض النت'!$D:$D,'POWER ارض النت'!$C:$C,$A18,'POWER ارض النت'!$G:$G,"&lt;&gt;",'POWER ارض النت'!$F:$F,""))</f>
        <v>0</v>
      </c>
      <c r="L18" s="5">
        <f>IF($A18="","",SUMIFS('POWER زفتي'!$D:$D,'POWER زفتي'!$C:$C,$A18,'POWER زفتي'!$F:$F,"&lt;&gt;")-SUMIFS('POWER زفتي'!$D:$D,'POWER زفتي'!$C:$C,$A18,'POWER زفتي'!$G:$G,"&lt;&gt;",'POWER زفتي'!$F:$F,""))</f>
        <v>0</v>
      </c>
      <c r="M18" s="5">
        <f>IF($A18="","",SUMIFS('احمد المنوفي'!$D:$D,'احمد المنوفي'!$C:$C,$A18,'احمد المنوفي'!$F:$F,"&lt;&gt;")-SUMIFS('احمد المنوفي'!$D:$D,'احمد المنوفي'!$C:$C,$A18,'احمد المنوفي'!$G:$G,"&lt;&gt;",'احمد المنوفي'!$F:$F,""))</f>
        <v>8</v>
      </c>
      <c r="N18" s="5">
        <f>IF($A18="","",SUMIFS(السفير!$D:$D,السفير!$C:$C,$A18,السفير!$F:$F,"&lt;&gt;")-SUMIFS(السفير!$D:$D,السفير!$C:$C,$A18,السفير!$G:$G,"&lt;&gt;",السفير!$F:$F,""))</f>
        <v>0</v>
      </c>
      <c r="O18" s="5">
        <f>IF($A18="","",SUMIFS(العالمي!$D:$D,العالمي!$C:$C,$A18,العالمي!$F:$F,"&lt;&gt;")-SUMIFS(العالمي!$D:$D,العالمي!$C:$C,$A18,العالمي!$G:$G,"&lt;&gt;",العالمي!$F:$F,""))</f>
        <v>0</v>
      </c>
      <c r="P18" s="5">
        <f>IF($A18="","",SUMIFS('باهي التركي'!$D:$D,'باهي التركي'!$C:$C,$A18,'باهي التركي'!$F:$F,"&lt;&gt;")-SUMIFS('باهي التركي'!$D:$D,'باهي التركي'!$C:$C,$A18,'باهي التركي'!$G:$G,"&lt;&gt;",'باهي التركي'!$F:$F,""))</f>
        <v>0</v>
      </c>
      <c r="Q18" s="5">
        <f>IF($A18="","",SUMIFS('توتي دماص'!$D:$D,'توتي دماص'!$C:$C,$A18,'توتي دماص'!$F:$F,"&lt;&gt;")-SUMIFS('توتي دماص'!$D:$D,'توتي دماص'!$C:$C,$A18,'توتي دماص'!$G:$G,"&lt;&gt;",'توتي دماص'!$F:$F,""))</f>
        <v>0</v>
      </c>
      <c r="R18" s="5">
        <f>IF($A18="","",SUMIFS('رضا محمد'!$D:$D,'رضا محمد'!$C:$C,$A18,'رضا محمد'!$F:$F,"&lt;&gt;")-SUMIFS('رضا محمد'!$D:$D,'رضا محمد'!$C:$C,$A18,'رضا محمد'!$G:$G,"&lt;&gt;",'رضا محمد'!$F:$F,""))</f>
        <v>0</v>
      </c>
      <c r="S18" s="5">
        <f>IF($A18="","",SUMIFS('زومبي العشري'!$D:$D,'زومبي العشري'!$C:$C,$A18,'زومبي العشري'!$F:$F,"&lt;&gt;")-SUMIFS('زومبي العشري'!$D:$D,'زومبي العشري'!$C:$C,$A18,'زومبي العشري'!$G:$G,"&lt;&gt;",'زومبي العشري'!$F:$F,""))</f>
        <v>0</v>
      </c>
      <c r="T18" s="5">
        <f>IF($A18="","",SUMIFS('محمد عرابي'!$D:$D,'محمد عرابي'!$C:$C,$A18,'محمد عرابي'!$F:$F,"&lt;&gt;")-SUMIFS('محمد عرابي'!$D:$D,'محمد عرابي'!$C:$C,$A18,'محمد عرابي'!$G:$G,"&lt;&gt;",'محمد عرابي'!$F:$F,""))</f>
        <v>8</v>
      </c>
      <c r="U18" s="5">
        <f>IF($A18="","",SUMIFS('عم جمال'!$D:$D,'عم جمال'!$C:$C,$A18,'عم جمال'!$F:$F,"&lt;&gt;")-SUMIFS('عم جمال'!$D:$D,'عم جمال'!$C:$C,$A18,'عم جمال'!$G:$G,"&lt;&gt;",'عم جمال'!$F:$F,""))</f>
        <v>0</v>
      </c>
      <c r="V18" s="5">
        <f>IF($A18="","",SUMIFS('فاير سيليكت'!$D:$D,'فاير سيليكت'!$C:$C,$A18,'فاير سيليكت'!$F:$F,"&lt;&gt;")-SUMIFS('فاير سيليكت'!$D:$D,'فاير سيليكت'!$C:$C,$A18,'فاير سيليكت'!$G:$G,"&lt;&gt;",'فاير سيليكت'!$F:$F,""))</f>
        <v>0</v>
      </c>
      <c r="W18" s="5">
        <f>IF($A18="","",SUMIFS(فرانكو!$D:$D,فرانكو!$C:$C,$A18,فرانكو!$F:$F,"&lt;&gt;")-SUMIFS(فرانكو!$D:$D,فرانكو!$C:$C,$A18,فرانكو!$G:$G,"&lt;&gt;",فرانكو!$F:$F,""))</f>
        <v>0</v>
      </c>
      <c r="X18" s="5">
        <f>IF($A18="","",SUMIFS('كريم بكر'!$D:$D,'كريم بكر'!$C:$C,$A18,'كريم بكر'!$F:$F,"&lt;&gt;")-SUMIFS('كريم بكر'!$D:$D,'كريم بكر'!$C:$C,$A18,'كريم بكر'!$G:$G,"&lt;&gt;",'كريم بكر'!$F:$F,""))</f>
        <v>0</v>
      </c>
      <c r="Y18" s="5">
        <f>IF($A18="","",SUMIFS(بفرا!$D:$D,بفرا!$C:$C,$A18,بفرا!$F:$F,"&lt;&gt;")-SUMIFS(بفرا!$D:$D,بفرا!$C:$C,$A18,بفرا!$G:$G,"&lt;&gt;",بفرا!$F:$F,""))</f>
        <v>0</v>
      </c>
      <c r="Z18" s="5">
        <f>IF($A18="","",SUMIFS('محل كوم النور'!$D:$D,'محل كوم النور'!$C:$C,$A18,'محل كوم النور'!$F:$F,"&lt;&gt;")-SUMIFS('محل كوم النور'!$D:$D,'محل كوم النور'!$C:$C,$A18,'محل كوم النور'!$G:$G,"&lt;&gt;",'محل كوم النور'!$F:$F,""))</f>
        <v>0</v>
      </c>
      <c r="AA18" s="5">
        <f>IF($A18="","",SUMIFS('محمد النجار'!$D:$D,'محمد النجار'!$C:$C,$A18,'محمد النجار'!$F:$F,"&lt;&gt;")-SUMIFS('محمد النجار'!$D:$D,'محمد النجار'!$C:$C,$A18,'محمد النجار'!$G:$G,"&lt;&gt;",'محمد النجار'!$F:$F,""))</f>
        <v>0</v>
      </c>
      <c r="AB18" s="5">
        <f>IF($A18="","",SUMIFS('محمود عبدالرسول'!$D:$D,'محمود عبدالرسول'!$C:$C,$A18,'محمود عبدالرسول'!$F:$F,"&lt;&gt;")-SUMIFS('محمود عبدالرسول'!$D:$D,'محمود عبدالرسول'!$C:$C,$A18,'محمود عبدالرسول'!$G:$G,"&lt;&gt;",'محمود عبدالرسول'!$F:$F,""))</f>
        <v>0</v>
      </c>
      <c r="AC18" s="5">
        <f>IF($A18="","",SUMIFS('مول المصطفي'!$D:$D,'مول المصطفي'!$C:$C,$A18,'مول المصطفي'!$F:$F,"&lt;&gt;")-SUMIFS('مول المصطفي'!$D:$D,'مول المصطفي'!$C:$C,$A18,'مول المصطفي'!$G:$G,"&lt;&gt;",'مول المصطفي'!$F:$F,""))</f>
        <v>0</v>
      </c>
      <c r="AD18" s="5">
        <f>IF($A18="","",SUMIFS(مصانع!$D:$D,مصانع!$C:$C,$A18,مصانع!$F:$F,"&lt;&gt;")-SUMIFS(مصانع!$D:$D,مصانع!$C:$C,$A18,مصانع!$G:$G,"&lt;&gt;",مصانع!$F:$F,""))</f>
        <v>0</v>
      </c>
      <c r="AE18" s="6">
        <f t="shared" ref="AE18:AE43" si="3">IF($A18="","",SUM(B18:AD18))</f>
        <v>64</v>
      </c>
      <c r="AF18" s="18" t="s">
        <v>233</v>
      </c>
      <c r="AG18" s="8">
        <v>72</v>
      </c>
      <c r="AH18" s="9"/>
      <c r="AI18" s="8"/>
      <c r="AJ18" s="6" t="str">
        <f t="shared" ref="AJ18:AJ41" si="4">IF(OR($A18="",AH18=""),"",AH18*AI18)</f>
        <v/>
      </c>
    </row>
    <row r="19" spans="1:36">
      <c r="A19" s="4" t="s">
        <v>102</v>
      </c>
      <c r="B19" s="5">
        <f>IF($A19="","",SUMIFS('4K حموده'!$D:$D,'4K حموده'!$C:$C,$A19,'4K حموده'!$F:$F,"&lt;&gt;")-SUMIFS('4K حموده'!$D:$D,'4K حموده'!$C:$C,$A19,'4K حموده'!$G:$G,"&lt;&gt;",'4K حموده'!$F:$F,""))</f>
        <v>0</v>
      </c>
      <c r="C19" s="5">
        <f>IF($A19="","",SUMIFS('مكتب القاضي'!$D:$D,'مكتب القاضي'!$C:$C,$A19,'مكتب القاضي'!$F:$F,"&lt;&gt;")-SUMIFS('مكتب القاضي'!$D:$D,'مكتب القاضي'!$C:$C,$A19,'مكتب القاضي'!$G:$G,"&lt;&gt;",'مكتب القاضي'!$F:$F,""))</f>
        <v>0</v>
      </c>
      <c r="D19" s="5">
        <f>IF($A19="","",SUMIFS(الاتشو!$D:$D,الاتشو!$C:$C,$A19,الاتشو!$F:$F,"&lt;&gt;")-SUMIFS(الاتشو!$D:$D,الاتشو!$C:$C,$A19,الاتشو!$G:$G,"&lt;&gt;",الاتشو!$F:$F,""))</f>
        <v>0</v>
      </c>
      <c r="E19" s="5">
        <f>IF($A19="","",SUMIFS('علاء بوم ارض النت'!$D:$D,'علاء بوم ارض النت'!$C:$C,$A19,'علاء بوم ارض النت'!$F:$F,"&lt;&gt;")-SUMIFS('علاء بوم ارض النت'!$D:$D,'علاء بوم ارض النت'!$C:$C,$A19,'علاء بوم ارض النت'!$G:$G,"&lt;&gt;",'علاء بوم ارض النت'!$F:$F,""))</f>
        <v>12</v>
      </c>
      <c r="F19" s="5">
        <f>IF($A19="","",SUMIFS('كيمو ميت ابو خالد'!$D:$D,'كيمو ميت ابو خالد'!$C:$C,$A19,'كيمو ميت ابو خالد'!$F:$F,"&lt;&gt;")-SUMIFS('كيمو ميت ابو خالد'!$D:$D,'كيمو ميت ابو خالد'!$C:$C,$A19,'كيمو ميت ابو خالد'!$G:$G,"&lt;&gt;",'كيمو ميت ابو خالد'!$F:$F,""))</f>
        <v>0</v>
      </c>
      <c r="G19" s="5">
        <f>IF($A19="","",SUMIFS(KAZO!$D:$D,KAZO!$C:$C,$A19,KAZO!$F:$F,"&lt;&gt;")-SUMIFS(KAZO!$D:$D,KAZO!$C:$C,$A19,KAZO!$G:$G,"&lt;&gt;",KAZO!$F:$F,""))</f>
        <v>0</v>
      </c>
      <c r="H19" s="5">
        <f>IF($A19="","",SUMIFS(LAFY!$D:$D,LAFY!$C:$C,$A19,LAFY!$F:$F,"&lt;&gt;")-SUMIFS(LAFY!$D:$D,LAFY!$C:$C,$A19,LAFY!$G:$G,"&lt;&gt;",LAFY!$F:$F,""))</f>
        <v>0</v>
      </c>
      <c r="I19" s="5">
        <f>IF($A19="","",SUMIFS('POINT زفتي (جديد)'!$D:$D,'POINT زفتي (جديد)'!$C:$C,$A19,'POINT زفتي (جديد)'!$F:$F,"&lt;&gt;")-SUMIFS('POINT زفتي (جديد)'!$D:$D,'POINT زفتي (جديد)'!$C:$C,$A19,'POINT زفتي (جديد)'!$G:$G,"&lt;&gt;",'POINT زفتي (جديد)'!$F:$F,""))</f>
        <v>0</v>
      </c>
      <c r="J19" s="5">
        <f>IF($A19="","",SUMIFS('POINT سعد زغلول (قديم)'!$D:$D,'POINT سعد زغلول (قديم)'!$C:$C,$A19,'POINT سعد زغلول (قديم)'!$F:$F,"&lt;&gt;")-SUMIFS('POINT سعد زغلول (قديم)'!$D:$D,'POINT سعد زغلول (قديم)'!$C:$C,$A19,'POINT سعد زغلول (قديم)'!$G:$G,"&lt;&gt;",'POINT سعد زغلول (قديم)'!$F:$F,""))</f>
        <v>0</v>
      </c>
      <c r="K19" s="5">
        <f>IF($A19="","",SUMIFS('POWER ارض النت'!$D:$D,'POWER ارض النت'!$C:$C,$A19,'POWER ارض النت'!$F:$F,"&lt;&gt;")-SUMIFS('POWER ارض النت'!$D:$D,'POWER ارض النت'!$C:$C,$A19,'POWER ارض النت'!$G:$G,"&lt;&gt;",'POWER ارض النت'!$F:$F,""))</f>
        <v>0</v>
      </c>
      <c r="L19" s="5">
        <f>IF($A19="","",SUMIFS('POWER زفتي'!$D:$D,'POWER زفتي'!$C:$C,$A19,'POWER زفتي'!$F:$F,"&lt;&gt;")-SUMIFS('POWER زفتي'!$D:$D,'POWER زفتي'!$C:$C,$A19,'POWER زفتي'!$G:$G,"&lt;&gt;",'POWER زفتي'!$F:$F,""))</f>
        <v>0</v>
      </c>
      <c r="M19" s="5">
        <f>IF($A19="","",SUMIFS('احمد المنوفي'!$D:$D,'احمد المنوفي'!$C:$C,$A19,'احمد المنوفي'!$F:$F,"&lt;&gt;")-SUMIFS('احمد المنوفي'!$D:$D,'احمد المنوفي'!$C:$C,$A19,'احمد المنوفي'!$G:$G,"&lt;&gt;",'احمد المنوفي'!$F:$F,""))</f>
        <v>12</v>
      </c>
      <c r="N19" s="5">
        <f>IF($A19="","",SUMIFS(السفير!$D:$D,السفير!$C:$C,$A19,السفير!$F:$F,"&lt;&gt;")-SUMIFS(السفير!$D:$D,السفير!$C:$C,$A19,السفير!$G:$G,"&lt;&gt;",السفير!$F:$F,""))</f>
        <v>0</v>
      </c>
      <c r="O19" s="5">
        <f>IF($A19="","",SUMIFS(العالمي!$D:$D,العالمي!$C:$C,$A19,العالمي!$F:$F,"&lt;&gt;")-SUMIFS(العالمي!$D:$D,العالمي!$C:$C,$A19,العالمي!$G:$G,"&lt;&gt;",العالمي!$F:$F,""))</f>
        <v>0</v>
      </c>
      <c r="P19" s="5">
        <f>IF($A19="","",SUMIFS('باهي التركي'!$D:$D,'باهي التركي'!$C:$C,$A19,'باهي التركي'!$F:$F,"&lt;&gt;")-SUMIFS('باهي التركي'!$D:$D,'باهي التركي'!$C:$C,$A19,'باهي التركي'!$G:$G,"&lt;&gt;",'باهي التركي'!$F:$F,""))</f>
        <v>0</v>
      </c>
      <c r="Q19" s="5">
        <f>IF($A19="","",SUMIFS('توتي دماص'!$D:$D,'توتي دماص'!$C:$C,$A19,'توتي دماص'!$F:$F,"&lt;&gt;")-SUMIFS('توتي دماص'!$D:$D,'توتي دماص'!$C:$C,$A19,'توتي دماص'!$G:$G,"&lt;&gt;",'توتي دماص'!$F:$F,""))</f>
        <v>0</v>
      </c>
      <c r="R19" s="5">
        <f>IF($A19="","",SUMIFS('رضا محمد'!$D:$D,'رضا محمد'!$C:$C,$A19,'رضا محمد'!$F:$F,"&lt;&gt;")-SUMIFS('رضا محمد'!$D:$D,'رضا محمد'!$C:$C,$A19,'رضا محمد'!$G:$G,"&lt;&gt;",'رضا محمد'!$F:$F,""))</f>
        <v>0</v>
      </c>
      <c r="S19" s="5">
        <f>IF($A19="","",SUMIFS('زومبي العشري'!$D:$D,'زومبي العشري'!$C:$C,$A19,'زومبي العشري'!$F:$F,"&lt;&gt;")-SUMIFS('زومبي العشري'!$D:$D,'زومبي العشري'!$C:$C,$A19,'زومبي العشري'!$G:$G,"&lt;&gt;",'زومبي العشري'!$F:$F,""))</f>
        <v>0</v>
      </c>
      <c r="T19" s="5">
        <f>IF($A19="","",SUMIFS('محمد عرابي'!$D:$D,'محمد عرابي'!$C:$C,$A19,'محمد عرابي'!$F:$F,"&lt;&gt;")-SUMIFS('محمد عرابي'!$D:$D,'محمد عرابي'!$C:$C,$A19,'محمد عرابي'!$G:$G,"&lt;&gt;",'محمد عرابي'!$F:$F,""))</f>
        <v>0</v>
      </c>
      <c r="U19" s="5">
        <f>IF($A19="","",SUMIFS('عم جمال'!$D:$D,'عم جمال'!$C:$C,$A19,'عم جمال'!$F:$F,"&lt;&gt;")-SUMIFS('عم جمال'!$D:$D,'عم جمال'!$C:$C,$A19,'عم جمال'!$G:$G,"&lt;&gt;",'عم جمال'!$F:$F,""))</f>
        <v>0</v>
      </c>
      <c r="V19" s="5">
        <f>IF($A19="","",SUMIFS('فاير سيليكت'!$D:$D,'فاير سيليكت'!$C:$C,$A19,'فاير سيليكت'!$F:$F,"&lt;&gt;")-SUMIFS('فاير سيليكت'!$D:$D,'فاير سيليكت'!$C:$C,$A19,'فاير سيليكت'!$G:$G,"&lt;&gt;",'فاير سيليكت'!$F:$F,""))</f>
        <v>4</v>
      </c>
      <c r="W19" s="5">
        <f>IF($A19="","",SUMIFS(فرانكو!$D:$D,فرانكو!$C:$C,$A19,فرانكو!$F:$F,"&lt;&gt;")-SUMIFS(فرانكو!$D:$D,فرانكو!$C:$C,$A19,فرانكو!$G:$G,"&lt;&gt;",فرانكو!$F:$F,""))</f>
        <v>0</v>
      </c>
      <c r="X19" s="5">
        <f>IF($A19="","",SUMIFS('كريم بكر'!$D:$D,'كريم بكر'!$C:$C,$A19,'كريم بكر'!$F:$F,"&lt;&gt;")-SUMIFS('كريم بكر'!$D:$D,'كريم بكر'!$C:$C,$A19,'كريم بكر'!$G:$G,"&lt;&gt;",'كريم بكر'!$F:$F,""))</f>
        <v>0</v>
      </c>
      <c r="Y19" s="5">
        <f>IF($A19="","",SUMIFS(بفرا!$D:$D,بفرا!$C:$C,$A19,بفرا!$F:$F,"&lt;&gt;")-SUMIFS(بفرا!$D:$D,بفرا!$C:$C,$A19,بفرا!$G:$G,"&lt;&gt;",بفرا!$F:$F,""))</f>
        <v>0</v>
      </c>
      <c r="Z19" s="5">
        <f>IF($A19="","",SUMIFS('محل كوم النور'!$D:$D,'محل كوم النور'!$C:$C,$A19,'محل كوم النور'!$F:$F,"&lt;&gt;")-SUMIFS('محل كوم النور'!$D:$D,'محل كوم النور'!$C:$C,$A19,'محل كوم النور'!$G:$G,"&lt;&gt;",'محل كوم النور'!$F:$F,""))</f>
        <v>0</v>
      </c>
      <c r="AA19" s="5">
        <f>IF($A19="","",SUMIFS('محمد النجار'!$D:$D,'محمد النجار'!$C:$C,$A19,'محمد النجار'!$F:$F,"&lt;&gt;")-SUMIFS('محمد النجار'!$D:$D,'محمد النجار'!$C:$C,$A19,'محمد النجار'!$G:$G,"&lt;&gt;",'محمد النجار'!$F:$F,""))</f>
        <v>0</v>
      </c>
      <c r="AB19" s="5">
        <f>IF($A19="","",SUMIFS('محمود عبدالرسول'!$D:$D,'محمود عبدالرسول'!$C:$C,$A19,'محمود عبدالرسول'!$F:$F,"&lt;&gt;")-SUMIFS('محمود عبدالرسول'!$D:$D,'محمود عبدالرسول'!$C:$C,$A19,'محمود عبدالرسول'!$G:$G,"&lt;&gt;",'محمود عبدالرسول'!$F:$F,""))</f>
        <v>0</v>
      </c>
      <c r="AC19" s="5">
        <f>IF($A19="","",SUMIFS('مول المصطفي'!$D:$D,'مول المصطفي'!$C:$C,$A19,'مول المصطفي'!$F:$F,"&lt;&gt;")-SUMIFS('مول المصطفي'!$D:$D,'مول المصطفي'!$C:$C,$A19,'مول المصطفي'!$G:$G,"&lt;&gt;",'مول المصطفي'!$F:$F,""))</f>
        <v>0</v>
      </c>
      <c r="AD19" s="5">
        <f>IF($A19="","",SUMIFS(مصانع!$D:$D,مصانع!$C:$C,$A19,مصانع!$F:$F,"&lt;&gt;")-SUMIFS(مصانع!$D:$D,مصانع!$C:$C,$A19,مصانع!$G:$G,"&lt;&gt;",مصانع!$F:$F,""))</f>
        <v>0</v>
      </c>
      <c r="AE19" s="6">
        <f t="shared" si="3"/>
        <v>28</v>
      </c>
      <c r="AF19" s="7" t="s">
        <v>103</v>
      </c>
      <c r="AG19" s="8">
        <v>100</v>
      </c>
      <c r="AH19" s="9">
        <f t="shared" ref="AH19:AH41" si="5">IF(OR($A19="",AG19=""),"",AG19-AE19)</f>
        <v>72</v>
      </c>
      <c r="AI19" s="8"/>
      <c r="AJ19" s="6">
        <f t="shared" si="4"/>
        <v>0</v>
      </c>
    </row>
    <row r="20" spans="1:36">
      <c r="A20" s="19" t="s">
        <v>351</v>
      </c>
      <c r="B20" s="5">
        <f>IF($A20="","",SUMIFS('4K حموده'!$D:$D,'4K حموده'!$C:$C,$A20,'4K حموده'!$F:$F,"&lt;&gt;")-SUMIFS('4K حموده'!$D:$D,'4K حموده'!$C:$C,$A20,'4K حموده'!$G:$G,"&lt;&gt;",'4K حموده'!$F:$F,""))</f>
        <v>0</v>
      </c>
      <c r="C20" s="5">
        <f>IF($A20="","",SUMIFS('مكتب القاضي'!$D:$D,'مكتب القاضي'!$C:$C,$A20,'مكتب القاضي'!$F:$F,"&lt;&gt;")-SUMIFS('مكتب القاضي'!$D:$D,'مكتب القاضي'!$C:$C,$A20,'مكتب القاضي'!$G:$G,"&lt;&gt;",'مكتب القاضي'!$F:$F,""))</f>
        <v>0</v>
      </c>
      <c r="D20" s="5">
        <f>IF($A20="","",SUMIFS(الاتشو!$D:$D,الاتشو!$C:$C,$A20,الاتشو!$F:$F,"&lt;&gt;")-SUMIFS(الاتشو!$D:$D,الاتشو!$C:$C,$A20,الاتشو!$G:$G,"&lt;&gt;",الاتشو!$F:$F,""))</f>
        <v>0</v>
      </c>
      <c r="E20" s="5">
        <f>IF($A20="","",SUMIFS('علاء بوم ارض النت'!$D:$D,'علاء بوم ارض النت'!$C:$C,$A20,'علاء بوم ارض النت'!$F:$F,"&lt;&gt;")-SUMIFS('علاء بوم ارض النت'!$D:$D,'علاء بوم ارض النت'!$C:$C,$A20,'علاء بوم ارض النت'!$G:$G,"&lt;&gt;",'علاء بوم ارض النت'!$F:$F,""))</f>
        <v>0</v>
      </c>
      <c r="F20" s="5">
        <f>IF($A20="","",SUMIFS('كيمو ميت ابو خالد'!$D:$D,'كيمو ميت ابو خالد'!$C:$C,$A20,'كيمو ميت ابو خالد'!$F:$F,"&lt;&gt;")-SUMIFS('كيمو ميت ابو خالد'!$D:$D,'كيمو ميت ابو خالد'!$C:$C,$A20,'كيمو ميت ابو خالد'!$G:$G,"&lt;&gt;",'كيمو ميت ابو خالد'!$F:$F,""))</f>
        <v>0</v>
      </c>
      <c r="G20" s="5">
        <f>IF($A20="","",SUMIFS(KAZO!$D:$D,KAZO!$C:$C,$A20,KAZO!$F:$F,"&lt;&gt;")-SUMIFS(KAZO!$D:$D,KAZO!$C:$C,$A20,KAZO!$G:$G,"&lt;&gt;",KAZO!$F:$F,""))</f>
        <v>0</v>
      </c>
      <c r="H20" s="5">
        <f>IF($A20="","",SUMIFS(LAFY!$D:$D,LAFY!$C:$C,$A20,LAFY!$F:$F,"&lt;&gt;")-SUMIFS(LAFY!$D:$D,LAFY!$C:$C,$A20,LAFY!$G:$G,"&lt;&gt;",LAFY!$F:$F,""))</f>
        <v>0</v>
      </c>
      <c r="I20" s="5">
        <f>IF($A20="","",SUMIFS('POINT زفتي (جديد)'!$D:$D,'POINT زفتي (جديد)'!$C:$C,$A20,'POINT زفتي (جديد)'!$F:$F,"&lt;&gt;")-SUMIFS('POINT زفتي (جديد)'!$D:$D,'POINT زفتي (جديد)'!$C:$C,$A20,'POINT زفتي (جديد)'!$G:$G,"&lt;&gt;",'POINT زفتي (جديد)'!$F:$F,""))</f>
        <v>0</v>
      </c>
      <c r="J20" s="5">
        <f>IF($A20="","",SUMIFS('POINT سعد زغلول (قديم)'!$D:$D,'POINT سعد زغلول (قديم)'!$C:$C,$A20,'POINT سعد زغلول (قديم)'!$F:$F,"&lt;&gt;")-SUMIFS('POINT سعد زغلول (قديم)'!$D:$D,'POINT سعد زغلول (قديم)'!$C:$C,$A20,'POINT سعد زغلول (قديم)'!$G:$G,"&lt;&gt;",'POINT سعد زغلول (قديم)'!$F:$F,""))</f>
        <v>0</v>
      </c>
      <c r="K20" s="5">
        <f>IF($A20="","",SUMIFS('POWER ارض النت'!$D:$D,'POWER ارض النت'!$C:$C,$A20,'POWER ارض النت'!$F:$F,"&lt;&gt;")-SUMIFS('POWER ارض النت'!$D:$D,'POWER ارض النت'!$C:$C,$A20,'POWER ارض النت'!$G:$G,"&lt;&gt;",'POWER ارض النت'!$F:$F,""))</f>
        <v>0</v>
      </c>
      <c r="L20" s="5">
        <f>IF($A20="","",SUMIFS('POWER زفتي'!$D:$D,'POWER زفتي'!$C:$C,$A20,'POWER زفتي'!$F:$F,"&lt;&gt;")-SUMIFS('POWER زفتي'!$D:$D,'POWER زفتي'!$C:$C,$A20,'POWER زفتي'!$G:$G,"&lt;&gt;",'POWER زفتي'!$F:$F,""))</f>
        <v>0</v>
      </c>
      <c r="M20" s="5">
        <f>IF($A20="","",SUMIFS('احمد المنوفي'!$D:$D,'احمد المنوفي'!$C:$C,$A20,'احمد المنوفي'!$F:$F,"&lt;&gt;")-SUMIFS('احمد المنوفي'!$D:$D,'احمد المنوفي'!$C:$C,$A20,'احمد المنوفي'!$G:$G,"&lt;&gt;",'احمد المنوفي'!$F:$F,""))</f>
        <v>0</v>
      </c>
      <c r="N20" s="5">
        <f>IF($A20="","",SUMIFS(السفير!$D:$D,السفير!$C:$C,$A20,السفير!$F:$F,"&lt;&gt;")-SUMIFS(السفير!$D:$D,السفير!$C:$C,$A20,السفير!$G:$G,"&lt;&gt;",السفير!$F:$F,""))</f>
        <v>0</v>
      </c>
      <c r="O20" s="5">
        <f>IF($A20="","",SUMIFS(العالمي!$D:$D,العالمي!$C:$C,$A20,العالمي!$F:$F,"&lt;&gt;")-SUMIFS(العالمي!$D:$D,العالمي!$C:$C,$A20,العالمي!$G:$G,"&lt;&gt;",العالمي!$F:$F,""))</f>
        <v>0</v>
      </c>
      <c r="P20" s="5">
        <f>IF($A20="","",SUMIFS('باهي التركي'!$D:$D,'باهي التركي'!$C:$C,$A20,'باهي التركي'!$F:$F,"&lt;&gt;")-SUMIFS('باهي التركي'!$D:$D,'باهي التركي'!$C:$C,$A20,'باهي التركي'!$G:$G,"&lt;&gt;",'باهي التركي'!$F:$F,""))</f>
        <v>0</v>
      </c>
      <c r="Q20" s="5">
        <f>IF($A20="","",SUMIFS('توتي دماص'!$D:$D,'توتي دماص'!$C:$C,$A20,'توتي دماص'!$F:$F,"&lt;&gt;")-SUMIFS('توتي دماص'!$D:$D,'توتي دماص'!$C:$C,$A20,'توتي دماص'!$G:$G,"&lt;&gt;",'توتي دماص'!$F:$F,""))</f>
        <v>0</v>
      </c>
      <c r="R20" s="5">
        <f>IF($A20="","",SUMIFS('رضا محمد'!$D:$D,'رضا محمد'!$C:$C,$A20,'رضا محمد'!$F:$F,"&lt;&gt;")-SUMIFS('رضا محمد'!$D:$D,'رضا محمد'!$C:$C,$A20,'رضا محمد'!$G:$G,"&lt;&gt;",'رضا محمد'!$F:$F,""))</f>
        <v>0</v>
      </c>
      <c r="S20" s="5">
        <f>IF($A20="","",SUMIFS('زومبي العشري'!$D:$D,'زومبي العشري'!$C:$C,$A20,'زومبي العشري'!$F:$F,"&lt;&gt;")-SUMIFS('زومبي العشري'!$D:$D,'زومبي العشري'!$C:$C,$A20,'زومبي العشري'!$G:$G,"&lt;&gt;",'زومبي العشري'!$F:$F,""))</f>
        <v>0</v>
      </c>
      <c r="T20" s="5">
        <f>IF($A20="","",SUMIFS('محمد عرابي'!$D:$D,'محمد عرابي'!$C:$C,$A20,'محمد عرابي'!$F:$F,"&lt;&gt;")-SUMIFS('محمد عرابي'!$D:$D,'محمد عرابي'!$C:$C,$A20,'محمد عرابي'!$G:$G,"&lt;&gt;",'محمد عرابي'!$F:$F,""))</f>
        <v>0</v>
      </c>
      <c r="U20" s="5">
        <f>IF($A20="","",SUMIFS('عم جمال'!$D:$D,'عم جمال'!$C:$C,$A20,'عم جمال'!$F:$F,"&lt;&gt;")-SUMIFS('عم جمال'!$D:$D,'عم جمال'!$C:$C,$A20,'عم جمال'!$G:$G,"&lt;&gt;",'عم جمال'!$F:$F,""))</f>
        <v>0</v>
      </c>
      <c r="V20" s="5">
        <f>IF($A20="","",SUMIFS('فاير سيليكت'!$D:$D,'فاير سيليكت'!$C:$C,$A20,'فاير سيليكت'!$F:$F,"&lt;&gt;")-SUMIFS('فاير سيليكت'!$D:$D,'فاير سيليكت'!$C:$C,$A20,'فاير سيليكت'!$G:$G,"&lt;&gt;",'فاير سيليكت'!$F:$F,""))</f>
        <v>0</v>
      </c>
      <c r="W20" s="5">
        <f>IF($A20="","",SUMIFS(فرانكو!$D:$D,فرانكو!$C:$C,$A20,فرانكو!$F:$F,"&lt;&gt;")-SUMIFS(فرانكو!$D:$D,فرانكو!$C:$C,$A20,فرانكو!$G:$G,"&lt;&gt;",فرانكو!$F:$F,""))</f>
        <v>0</v>
      </c>
      <c r="X20" s="5">
        <f>IF($A20="","",SUMIFS('كريم بكر'!$D:$D,'كريم بكر'!$C:$C,$A20,'كريم بكر'!$F:$F,"&lt;&gt;")-SUMIFS('كريم بكر'!$D:$D,'كريم بكر'!$C:$C,$A20,'كريم بكر'!$G:$G,"&lt;&gt;",'كريم بكر'!$F:$F,""))</f>
        <v>0</v>
      </c>
      <c r="Y20" s="5">
        <f>IF($A20="","",SUMIFS(بفرا!$D:$D,بفرا!$C:$C,$A20,بفرا!$F:$F,"&lt;&gt;")-SUMIFS(بفرا!$D:$D,بفرا!$C:$C,$A20,بفرا!$G:$G,"&lt;&gt;",بفرا!$F:$F,""))</f>
        <v>0</v>
      </c>
      <c r="Z20" s="5">
        <f>IF($A20="","",SUMIFS('محل كوم النور'!$D:$D,'محل كوم النور'!$C:$C,$A20,'محل كوم النور'!$F:$F,"&lt;&gt;")-SUMIFS('محل كوم النور'!$D:$D,'محل كوم النور'!$C:$C,$A20,'محل كوم النور'!$G:$G,"&lt;&gt;",'محل كوم النور'!$F:$F,""))</f>
        <v>0</v>
      </c>
      <c r="AA20" s="5">
        <f>IF($A20="","",SUMIFS('محمد النجار'!$D:$D,'محمد النجار'!$C:$C,$A20,'محمد النجار'!$F:$F,"&lt;&gt;")-SUMIFS('محمد النجار'!$D:$D,'محمد النجار'!$C:$C,$A20,'محمد النجار'!$G:$G,"&lt;&gt;",'محمد النجار'!$F:$F,""))</f>
        <v>0</v>
      </c>
      <c r="AB20" s="5">
        <f>IF($A20="","",SUMIFS('محمود عبدالرسول'!$D:$D,'محمود عبدالرسول'!$C:$C,$A20,'محمود عبدالرسول'!$F:$F,"&lt;&gt;")-SUMIFS('محمود عبدالرسول'!$D:$D,'محمود عبدالرسول'!$C:$C,$A20,'محمود عبدالرسول'!$G:$G,"&lt;&gt;",'محمود عبدالرسول'!$F:$F,""))</f>
        <v>0</v>
      </c>
      <c r="AC20" s="5">
        <f>IF($A20="","",SUMIFS('مول المصطفي'!$D:$D,'مول المصطفي'!$C:$C,$A20,'مول المصطفي'!$F:$F,"&lt;&gt;")-SUMIFS('مول المصطفي'!$D:$D,'مول المصطفي'!$C:$C,$A20,'مول المصطفي'!$G:$G,"&lt;&gt;",'مول المصطفي'!$F:$F,""))</f>
        <v>0</v>
      </c>
      <c r="AD20" s="5">
        <f>IF($A20="","",SUMIFS(مصانع!$D:$D,مصانع!$C:$C,$A20,مصانع!$F:$F,"&lt;&gt;")-SUMIFS(مصانع!$D:$D,مصانع!$C:$C,$A20,مصانع!$G:$G,"&lt;&gt;",مصانع!$F:$F,""))</f>
        <v>0</v>
      </c>
      <c r="AE20" s="6">
        <f t="shared" ref="AE20:AE23" si="6">IF($A20="","",SUM(B20:AD20))</f>
        <v>0</v>
      </c>
      <c r="AF20" s="20" t="s">
        <v>352</v>
      </c>
      <c r="AG20" s="8">
        <v>104</v>
      </c>
      <c r="AH20" s="9"/>
      <c r="AI20" s="8"/>
      <c r="AJ20" s="6"/>
    </row>
    <row r="21" spans="1:36">
      <c r="A21" s="19" t="s">
        <v>348</v>
      </c>
      <c r="B21" s="5">
        <f>IF($A21="","",SUMIFS('4K حموده'!$D:$D,'4K حموده'!$C:$C,$A21,'4K حموده'!$F:$F,"&lt;&gt;")-SUMIFS('4K حموده'!$D:$D,'4K حموده'!$C:$C,$A21,'4K حموده'!$G:$G,"&lt;&gt;",'4K حموده'!$F:$F,""))</f>
        <v>0</v>
      </c>
      <c r="C21" s="5">
        <f>IF($A21="","",SUMIFS('مكتب القاضي'!$D:$D,'مكتب القاضي'!$C:$C,$A21,'مكتب القاضي'!$F:$F,"&lt;&gt;")-SUMIFS('مكتب القاضي'!$D:$D,'مكتب القاضي'!$C:$C,$A21,'مكتب القاضي'!$G:$G,"&lt;&gt;",'مكتب القاضي'!$F:$F,""))</f>
        <v>0</v>
      </c>
      <c r="D21" s="5">
        <f>IF($A21="","",SUMIFS(الاتشو!$D:$D,الاتشو!$C:$C,$A21,الاتشو!$F:$F,"&lt;&gt;")-SUMIFS(الاتشو!$D:$D,الاتشو!$C:$C,$A21,الاتشو!$G:$G,"&lt;&gt;",الاتشو!$F:$F,""))</f>
        <v>0</v>
      </c>
      <c r="E21" s="5">
        <f>IF($A21="","",SUMIFS('علاء بوم ارض النت'!$D:$D,'علاء بوم ارض النت'!$C:$C,$A21,'علاء بوم ارض النت'!$F:$F,"&lt;&gt;")-SUMIFS('علاء بوم ارض النت'!$D:$D,'علاء بوم ارض النت'!$C:$C,$A21,'علاء بوم ارض النت'!$G:$G,"&lt;&gt;",'علاء بوم ارض النت'!$F:$F,""))</f>
        <v>0</v>
      </c>
      <c r="F21" s="5">
        <f>IF($A21="","",SUMIFS('كيمو ميت ابو خالد'!$D:$D,'كيمو ميت ابو خالد'!$C:$C,$A21,'كيمو ميت ابو خالد'!$F:$F,"&lt;&gt;")-SUMIFS('كيمو ميت ابو خالد'!$D:$D,'كيمو ميت ابو خالد'!$C:$C,$A21,'كيمو ميت ابو خالد'!$G:$G,"&lt;&gt;",'كيمو ميت ابو خالد'!$F:$F,""))</f>
        <v>0</v>
      </c>
      <c r="G21" s="5">
        <f>IF($A21="","",SUMIFS(KAZO!$D:$D,KAZO!$C:$C,$A21,KAZO!$F:$F,"&lt;&gt;")-SUMIFS(KAZO!$D:$D,KAZO!$C:$C,$A21,KAZO!$G:$G,"&lt;&gt;",KAZO!$F:$F,""))</f>
        <v>0</v>
      </c>
      <c r="H21" s="5">
        <f>IF($A21="","",SUMIFS(LAFY!$D:$D,LAFY!$C:$C,$A21,LAFY!$F:$F,"&lt;&gt;")-SUMIFS(LAFY!$D:$D,LAFY!$C:$C,$A21,LAFY!$G:$G,"&lt;&gt;",LAFY!$F:$F,""))</f>
        <v>32</v>
      </c>
      <c r="I21" s="5">
        <f>IF($A21="","",SUMIFS('POINT زفتي (جديد)'!$D:$D,'POINT زفتي (جديد)'!$C:$C,$A21,'POINT زفتي (جديد)'!$F:$F,"&lt;&gt;")-SUMIFS('POINT زفتي (جديد)'!$D:$D,'POINT زفتي (جديد)'!$C:$C,$A21,'POINT زفتي (جديد)'!$G:$G,"&lt;&gt;",'POINT زفتي (جديد)'!$F:$F,""))</f>
        <v>0</v>
      </c>
      <c r="J21" s="5">
        <f>IF($A21="","",SUMIFS('POINT سعد زغلول (قديم)'!$D:$D,'POINT سعد زغلول (قديم)'!$C:$C,$A21,'POINT سعد زغلول (قديم)'!$F:$F,"&lt;&gt;")-SUMIFS('POINT سعد زغلول (قديم)'!$D:$D,'POINT سعد زغلول (قديم)'!$C:$C,$A21,'POINT سعد زغلول (قديم)'!$G:$G,"&lt;&gt;",'POINT سعد زغلول (قديم)'!$F:$F,""))</f>
        <v>0</v>
      </c>
      <c r="K21" s="5">
        <f>IF($A21="","",SUMIFS('POWER ارض النت'!$D:$D,'POWER ارض النت'!$C:$C,$A21,'POWER ارض النت'!$F:$F,"&lt;&gt;")-SUMIFS('POWER ارض النت'!$D:$D,'POWER ارض النت'!$C:$C,$A21,'POWER ارض النت'!$G:$G,"&lt;&gt;",'POWER ارض النت'!$F:$F,""))</f>
        <v>0</v>
      </c>
      <c r="L21" s="5">
        <f>IF($A21="","",SUMIFS('POWER زفتي'!$D:$D,'POWER زفتي'!$C:$C,$A21,'POWER زفتي'!$F:$F,"&lt;&gt;")-SUMIFS('POWER زفتي'!$D:$D,'POWER زفتي'!$C:$C,$A21,'POWER زفتي'!$G:$G,"&lt;&gt;",'POWER زفتي'!$F:$F,""))</f>
        <v>0</v>
      </c>
      <c r="M21" s="5">
        <f>IF($A21="","",SUMIFS('احمد المنوفي'!$D:$D,'احمد المنوفي'!$C:$C,$A21,'احمد المنوفي'!$F:$F,"&lt;&gt;")-SUMIFS('احمد المنوفي'!$D:$D,'احمد المنوفي'!$C:$C,$A21,'احمد المنوفي'!$G:$G,"&lt;&gt;",'احمد المنوفي'!$F:$F,""))</f>
        <v>0</v>
      </c>
      <c r="N21" s="5">
        <f>IF($A21="","",SUMIFS(السفير!$D:$D,السفير!$C:$C,$A21,السفير!$F:$F,"&lt;&gt;")-SUMIFS(السفير!$D:$D,السفير!$C:$C,$A21,السفير!$G:$G,"&lt;&gt;",السفير!$F:$F,""))</f>
        <v>0</v>
      </c>
      <c r="O21" s="5">
        <f>IF($A21="","",SUMIFS(العالمي!$D:$D,العالمي!$C:$C,$A21,العالمي!$F:$F,"&lt;&gt;")-SUMIFS(العالمي!$D:$D,العالمي!$C:$C,$A21,العالمي!$G:$G,"&lt;&gt;",العالمي!$F:$F,""))</f>
        <v>0</v>
      </c>
      <c r="P21" s="5">
        <f>IF($A21="","",SUMIFS('باهي التركي'!$D:$D,'باهي التركي'!$C:$C,$A21,'باهي التركي'!$F:$F,"&lt;&gt;")-SUMIFS('باهي التركي'!$D:$D,'باهي التركي'!$C:$C,$A21,'باهي التركي'!$G:$G,"&lt;&gt;",'باهي التركي'!$F:$F,""))</f>
        <v>0</v>
      </c>
      <c r="Q21" s="5">
        <f>IF($A21="","",SUMIFS('توتي دماص'!$D:$D,'توتي دماص'!$C:$C,$A21,'توتي دماص'!$F:$F,"&lt;&gt;")-SUMIFS('توتي دماص'!$D:$D,'توتي دماص'!$C:$C,$A21,'توتي دماص'!$G:$G,"&lt;&gt;",'توتي دماص'!$F:$F,""))</f>
        <v>0</v>
      </c>
      <c r="R21" s="5">
        <f>IF($A21="","",SUMIFS('رضا محمد'!$D:$D,'رضا محمد'!$C:$C,$A21,'رضا محمد'!$F:$F,"&lt;&gt;")-SUMIFS('رضا محمد'!$D:$D,'رضا محمد'!$C:$C,$A21,'رضا محمد'!$G:$G,"&lt;&gt;",'رضا محمد'!$F:$F,""))</f>
        <v>0</v>
      </c>
      <c r="S21" s="5">
        <f>IF($A21="","",SUMIFS('زومبي العشري'!$D:$D,'زومبي العشري'!$C:$C,$A21,'زومبي العشري'!$F:$F,"&lt;&gt;")-SUMIFS('زومبي العشري'!$D:$D,'زومبي العشري'!$C:$C,$A21,'زومبي العشري'!$G:$G,"&lt;&gt;",'زومبي العشري'!$F:$F,""))</f>
        <v>0</v>
      </c>
      <c r="T21" s="5">
        <f>IF($A21="","",SUMIFS('محمد عرابي'!$D:$D,'محمد عرابي'!$C:$C,$A21,'محمد عرابي'!$F:$F,"&lt;&gt;")-SUMIFS('محمد عرابي'!$D:$D,'محمد عرابي'!$C:$C,$A21,'محمد عرابي'!$G:$G,"&lt;&gt;",'محمد عرابي'!$F:$F,""))</f>
        <v>0</v>
      </c>
      <c r="U21" s="5">
        <f>IF($A21="","",SUMIFS('عم جمال'!$D:$D,'عم جمال'!$C:$C,$A21,'عم جمال'!$F:$F,"&lt;&gt;")-SUMIFS('عم جمال'!$D:$D,'عم جمال'!$C:$C,$A21,'عم جمال'!$G:$G,"&lt;&gt;",'عم جمال'!$F:$F,""))</f>
        <v>0</v>
      </c>
      <c r="V21" s="5">
        <f>IF($A21="","",SUMIFS('فاير سيليكت'!$D:$D,'فاير سيليكت'!$C:$C,$A21,'فاير سيليكت'!$F:$F,"&lt;&gt;")-SUMIFS('فاير سيليكت'!$D:$D,'فاير سيليكت'!$C:$C,$A21,'فاير سيليكت'!$G:$G,"&lt;&gt;",'فاير سيليكت'!$F:$F,""))</f>
        <v>0</v>
      </c>
      <c r="W21" s="5">
        <f>IF($A21="","",SUMIFS(فرانكو!$D:$D,فرانكو!$C:$C,$A21,فرانكو!$F:$F,"&lt;&gt;")-SUMIFS(فرانكو!$D:$D,فرانكو!$C:$C,$A21,فرانكو!$G:$G,"&lt;&gt;",فرانكو!$F:$F,""))</f>
        <v>0</v>
      </c>
      <c r="X21" s="5">
        <f>IF($A21="","",SUMIFS('كريم بكر'!$D:$D,'كريم بكر'!$C:$C,$A21,'كريم بكر'!$F:$F,"&lt;&gt;")-SUMIFS('كريم بكر'!$D:$D,'كريم بكر'!$C:$C,$A21,'كريم بكر'!$G:$G,"&lt;&gt;",'كريم بكر'!$F:$F,""))</f>
        <v>0</v>
      </c>
      <c r="Y21" s="5">
        <f>IF($A21="","",SUMIFS(بفرا!$D:$D,بفرا!$C:$C,$A21,بفرا!$F:$F,"&lt;&gt;")-SUMIFS(بفرا!$D:$D,بفرا!$C:$C,$A21,بفرا!$G:$G,"&lt;&gt;",بفرا!$F:$F,""))</f>
        <v>0</v>
      </c>
      <c r="Z21" s="5">
        <f>IF($A21="","",SUMIFS('محل كوم النور'!$D:$D,'محل كوم النور'!$C:$C,$A21,'محل كوم النور'!$F:$F,"&lt;&gt;")-SUMIFS('محل كوم النور'!$D:$D,'محل كوم النور'!$C:$C,$A21,'محل كوم النور'!$G:$G,"&lt;&gt;",'محل كوم النور'!$F:$F,""))</f>
        <v>0</v>
      </c>
      <c r="AA21" s="5">
        <f>IF($A21="","",SUMIFS('محمد النجار'!$D:$D,'محمد النجار'!$C:$C,$A21,'محمد النجار'!$F:$F,"&lt;&gt;")-SUMIFS('محمد النجار'!$D:$D,'محمد النجار'!$C:$C,$A21,'محمد النجار'!$G:$G,"&lt;&gt;",'محمد النجار'!$F:$F,""))</f>
        <v>0</v>
      </c>
      <c r="AB21" s="5">
        <f>IF($A21="","",SUMIFS('محمود عبدالرسول'!$D:$D,'محمود عبدالرسول'!$C:$C,$A21,'محمود عبدالرسول'!$F:$F,"&lt;&gt;")-SUMIFS('محمود عبدالرسول'!$D:$D,'محمود عبدالرسول'!$C:$C,$A21,'محمود عبدالرسول'!$G:$G,"&lt;&gt;",'محمود عبدالرسول'!$F:$F,""))</f>
        <v>0</v>
      </c>
      <c r="AC21" s="5">
        <f>IF($A21="","",SUMIFS('مول المصطفي'!$D:$D,'مول المصطفي'!$C:$C,$A21,'مول المصطفي'!$F:$F,"&lt;&gt;")-SUMIFS('مول المصطفي'!$D:$D,'مول المصطفي'!$C:$C,$A21,'مول المصطفي'!$G:$G,"&lt;&gt;",'مول المصطفي'!$F:$F,""))</f>
        <v>0</v>
      </c>
      <c r="AD21" s="5">
        <f>IF($A21="","",SUMIFS(مصانع!$D:$D,مصانع!$C:$C,$A21,مصانع!$F:$F,"&lt;&gt;")-SUMIFS(مصانع!$D:$D,مصانع!$C:$C,$A21,مصانع!$G:$G,"&lt;&gt;",مصانع!$F:$F,""))</f>
        <v>0</v>
      </c>
      <c r="AE21" s="6">
        <f t="shared" si="6"/>
        <v>32</v>
      </c>
      <c r="AF21" s="18" t="s">
        <v>101</v>
      </c>
      <c r="AG21" s="8">
        <v>88</v>
      </c>
      <c r="AH21" s="9"/>
      <c r="AI21" s="8"/>
      <c r="AJ21" s="6"/>
    </row>
    <row r="22" spans="1:36">
      <c r="A22" s="4" t="s">
        <v>104</v>
      </c>
      <c r="B22" s="5">
        <f>IF($A22="","",SUMIFS('4K حموده'!$D:$D,'4K حموده'!$C:$C,$A22,'4K حموده'!$F:$F,"&lt;&gt;")-SUMIFS('4K حموده'!$D:$D,'4K حموده'!$C:$C,$A22,'4K حموده'!$G:$G,"&lt;&gt;",'4K حموده'!$F:$F,""))</f>
        <v>0</v>
      </c>
      <c r="C22" s="5">
        <f>IF($A22="","",SUMIFS('مكتب القاضي'!$D:$D,'مكتب القاضي'!$C:$C,$A22,'مكتب القاضي'!$F:$F,"&lt;&gt;")-SUMIFS('مكتب القاضي'!$D:$D,'مكتب القاضي'!$C:$C,$A22,'مكتب القاضي'!$G:$G,"&lt;&gt;",'مكتب القاضي'!$F:$F,""))</f>
        <v>0</v>
      </c>
      <c r="D22" s="5">
        <f>IF($A22="","",SUMIFS(الاتشو!$D:$D,الاتشو!$C:$C,$A22,الاتشو!$F:$F,"&lt;&gt;")-SUMIFS(الاتشو!$D:$D,الاتشو!$C:$C,$A22,الاتشو!$G:$G,"&lt;&gt;",الاتشو!$F:$F,""))</f>
        <v>0</v>
      </c>
      <c r="E22" s="5">
        <f>IF($A22="","",SUMIFS('علاء بوم ارض النت'!$D:$D,'علاء بوم ارض النت'!$C:$C,$A22,'علاء بوم ارض النت'!$F:$F,"&lt;&gt;")-SUMIFS('علاء بوم ارض النت'!$D:$D,'علاء بوم ارض النت'!$C:$C,$A22,'علاء بوم ارض النت'!$G:$G,"&lt;&gt;",'علاء بوم ارض النت'!$F:$F,""))</f>
        <v>8</v>
      </c>
      <c r="F22" s="5">
        <f>IF($A22="","",SUMIFS('كيمو ميت ابو خالد'!$D:$D,'كيمو ميت ابو خالد'!$C:$C,$A22,'كيمو ميت ابو خالد'!$F:$F,"&lt;&gt;")-SUMIFS('كيمو ميت ابو خالد'!$D:$D,'كيمو ميت ابو خالد'!$C:$C,$A22,'كيمو ميت ابو خالد'!$G:$G,"&lt;&gt;",'كيمو ميت ابو خالد'!$F:$F,""))</f>
        <v>0</v>
      </c>
      <c r="G22" s="5">
        <f>IF($A22="","",SUMIFS(KAZO!$D:$D,KAZO!$C:$C,$A22,KAZO!$F:$F,"&lt;&gt;")-SUMIFS(KAZO!$D:$D,KAZO!$C:$C,$A22,KAZO!$G:$G,"&lt;&gt;",KAZO!$F:$F,""))</f>
        <v>0</v>
      </c>
      <c r="H22" s="5">
        <f>IF($A22="","",SUMIFS(LAFY!$D:$D,LAFY!$C:$C,$A22,LAFY!$F:$F,"&lt;&gt;")-SUMIFS(LAFY!$D:$D,LAFY!$C:$C,$A22,LAFY!$G:$G,"&lt;&gt;",LAFY!$F:$F,""))</f>
        <v>0</v>
      </c>
      <c r="I22" s="5">
        <f>IF($A22="","",SUMIFS('POINT زفتي (جديد)'!$D:$D,'POINT زفتي (جديد)'!$C:$C,$A22,'POINT زفتي (جديد)'!$F:$F,"&lt;&gt;")-SUMIFS('POINT زفتي (جديد)'!$D:$D,'POINT زفتي (جديد)'!$C:$C,$A22,'POINT زفتي (جديد)'!$G:$G,"&lt;&gt;",'POINT زفتي (جديد)'!$F:$F,""))</f>
        <v>0</v>
      </c>
      <c r="J22" s="5">
        <f>IF($A22="","",SUMIFS('POINT سعد زغلول (قديم)'!$D:$D,'POINT سعد زغلول (قديم)'!$C:$C,$A22,'POINT سعد زغلول (قديم)'!$F:$F,"&lt;&gt;")-SUMIFS('POINT سعد زغلول (قديم)'!$D:$D,'POINT سعد زغلول (قديم)'!$C:$C,$A22,'POINT سعد زغلول (قديم)'!$G:$G,"&lt;&gt;",'POINT سعد زغلول (قديم)'!$F:$F,""))</f>
        <v>0</v>
      </c>
      <c r="K22" s="5">
        <f>IF($A22="","",SUMIFS('POWER ارض النت'!$D:$D,'POWER ارض النت'!$C:$C,$A22,'POWER ارض النت'!$F:$F,"&lt;&gt;")-SUMIFS('POWER ارض النت'!$D:$D,'POWER ارض النت'!$C:$C,$A22,'POWER ارض النت'!$G:$G,"&lt;&gt;",'POWER ارض النت'!$F:$F,""))</f>
        <v>0</v>
      </c>
      <c r="L22" s="5">
        <f>IF($A22="","",SUMIFS('POWER زفتي'!$D:$D,'POWER زفتي'!$C:$C,$A22,'POWER زفتي'!$F:$F,"&lt;&gt;")-SUMIFS('POWER زفتي'!$D:$D,'POWER زفتي'!$C:$C,$A22,'POWER زفتي'!$G:$G,"&lt;&gt;",'POWER زفتي'!$F:$F,""))</f>
        <v>0</v>
      </c>
      <c r="M22" s="5">
        <f>IF($A22="","",SUMIFS('احمد المنوفي'!$D:$D,'احمد المنوفي'!$C:$C,$A22,'احمد المنوفي'!$F:$F,"&lt;&gt;")-SUMIFS('احمد المنوفي'!$D:$D,'احمد المنوفي'!$C:$C,$A22,'احمد المنوفي'!$G:$G,"&lt;&gt;",'احمد المنوفي'!$F:$F,""))</f>
        <v>0</v>
      </c>
      <c r="N22" s="5">
        <f>IF($A22="","",SUMIFS(السفير!$D:$D,السفير!$C:$C,$A22,السفير!$F:$F,"&lt;&gt;")-SUMIFS(السفير!$D:$D,السفير!$C:$C,$A22,السفير!$G:$G,"&lt;&gt;",السفير!$F:$F,""))</f>
        <v>0</v>
      </c>
      <c r="O22" s="5">
        <f>IF($A22="","",SUMIFS(العالمي!$D:$D,العالمي!$C:$C,$A22,العالمي!$F:$F,"&lt;&gt;")-SUMIFS(العالمي!$D:$D,العالمي!$C:$C,$A22,العالمي!$G:$G,"&lt;&gt;",العالمي!$F:$F,""))</f>
        <v>0</v>
      </c>
      <c r="P22" s="5">
        <f>IF($A22="","",SUMIFS('باهي التركي'!$D:$D,'باهي التركي'!$C:$C,$A22,'باهي التركي'!$F:$F,"&lt;&gt;")-SUMIFS('باهي التركي'!$D:$D,'باهي التركي'!$C:$C,$A22,'باهي التركي'!$G:$G,"&lt;&gt;",'باهي التركي'!$F:$F,""))</f>
        <v>0</v>
      </c>
      <c r="Q22" s="5">
        <f>IF($A22="","",SUMIFS('توتي دماص'!$D:$D,'توتي دماص'!$C:$C,$A22,'توتي دماص'!$F:$F,"&lt;&gt;")-SUMIFS('توتي دماص'!$D:$D,'توتي دماص'!$C:$C,$A22,'توتي دماص'!$G:$G,"&lt;&gt;",'توتي دماص'!$F:$F,""))</f>
        <v>0</v>
      </c>
      <c r="R22" s="5">
        <f>IF($A22="","",SUMIFS('رضا محمد'!$D:$D,'رضا محمد'!$C:$C,$A22,'رضا محمد'!$F:$F,"&lt;&gt;")-SUMIFS('رضا محمد'!$D:$D,'رضا محمد'!$C:$C,$A22,'رضا محمد'!$G:$G,"&lt;&gt;",'رضا محمد'!$F:$F,""))</f>
        <v>0</v>
      </c>
      <c r="S22" s="5">
        <f>IF($A22="","",SUMIFS('زومبي العشري'!$D:$D,'زومبي العشري'!$C:$C,$A22,'زومبي العشري'!$F:$F,"&lt;&gt;")-SUMIFS('زومبي العشري'!$D:$D,'زومبي العشري'!$C:$C,$A22,'زومبي العشري'!$G:$G,"&lt;&gt;",'زومبي العشري'!$F:$F,""))</f>
        <v>0</v>
      </c>
      <c r="T22" s="5">
        <f>IF($A22="","",SUMIFS('محمد عرابي'!$D:$D,'محمد عرابي'!$C:$C,$A22,'محمد عرابي'!$F:$F,"&lt;&gt;")-SUMIFS('محمد عرابي'!$D:$D,'محمد عرابي'!$C:$C,$A22,'محمد عرابي'!$G:$G,"&lt;&gt;",'محمد عرابي'!$F:$F,""))</f>
        <v>0</v>
      </c>
      <c r="U22" s="5">
        <f>IF($A22="","",SUMIFS('عم جمال'!$D:$D,'عم جمال'!$C:$C,$A22,'عم جمال'!$F:$F,"&lt;&gt;")-SUMIFS('عم جمال'!$D:$D,'عم جمال'!$C:$C,$A22,'عم جمال'!$G:$G,"&lt;&gt;",'عم جمال'!$F:$F,""))</f>
        <v>0</v>
      </c>
      <c r="V22" s="5">
        <f>IF($A22="","",SUMIFS('فاير سيليكت'!$D:$D,'فاير سيليكت'!$C:$C,$A22,'فاير سيليكت'!$F:$F,"&lt;&gt;")-SUMIFS('فاير سيليكت'!$D:$D,'فاير سيليكت'!$C:$C,$A22,'فاير سيليكت'!$G:$G,"&lt;&gt;",'فاير سيليكت'!$F:$F,""))</f>
        <v>3</v>
      </c>
      <c r="W22" s="5">
        <f>IF($A22="","",SUMIFS(فرانكو!$D:$D,فرانكو!$C:$C,$A22,فرانكو!$F:$F,"&lt;&gt;")-SUMIFS(فرانكو!$D:$D,فرانكو!$C:$C,$A22,فرانكو!$G:$G,"&lt;&gt;",فرانكو!$F:$F,""))</f>
        <v>0</v>
      </c>
      <c r="X22" s="5">
        <f>IF($A22="","",SUMIFS('كريم بكر'!$D:$D,'كريم بكر'!$C:$C,$A22,'كريم بكر'!$F:$F,"&lt;&gt;")-SUMIFS('كريم بكر'!$D:$D,'كريم بكر'!$C:$C,$A22,'كريم بكر'!$G:$G,"&lt;&gt;",'كريم بكر'!$F:$F,""))</f>
        <v>0</v>
      </c>
      <c r="Y22" s="5">
        <f>IF($A22="","",SUMIFS(بفرا!$D:$D,بفرا!$C:$C,$A22,بفرا!$F:$F,"&lt;&gt;")-SUMIFS(بفرا!$D:$D,بفرا!$C:$C,$A22,بفرا!$G:$G,"&lt;&gt;",بفرا!$F:$F,""))</f>
        <v>0</v>
      </c>
      <c r="Z22" s="5">
        <f>IF($A22="","",SUMIFS('محل كوم النور'!$D:$D,'محل كوم النور'!$C:$C,$A22,'محل كوم النور'!$F:$F,"&lt;&gt;")-SUMIFS('محل كوم النور'!$D:$D,'محل كوم النور'!$C:$C,$A22,'محل كوم النور'!$G:$G,"&lt;&gt;",'محل كوم النور'!$F:$F,""))</f>
        <v>0</v>
      </c>
      <c r="AA22" s="5">
        <f>IF($A22="","",SUMIFS('محمد النجار'!$D:$D,'محمد النجار'!$C:$C,$A22,'محمد النجار'!$F:$F,"&lt;&gt;")-SUMIFS('محمد النجار'!$D:$D,'محمد النجار'!$C:$C,$A22,'محمد النجار'!$G:$G,"&lt;&gt;",'محمد النجار'!$F:$F,""))</f>
        <v>0</v>
      </c>
      <c r="AB22" s="5">
        <f>IF($A22="","",SUMIFS('محمود عبدالرسول'!$D:$D,'محمود عبدالرسول'!$C:$C,$A22,'محمود عبدالرسول'!$F:$F,"&lt;&gt;")-SUMIFS('محمود عبدالرسول'!$D:$D,'محمود عبدالرسول'!$C:$C,$A22,'محمود عبدالرسول'!$G:$G,"&lt;&gt;",'محمود عبدالرسول'!$F:$F,""))</f>
        <v>0</v>
      </c>
      <c r="AC22" s="5">
        <f>IF($A22="","",SUMIFS('مول المصطفي'!$D:$D,'مول المصطفي'!$C:$C,$A22,'مول المصطفي'!$F:$F,"&lt;&gt;")-SUMIFS('مول المصطفي'!$D:$D,'مول المصطفي'!$C:$C,$A22,'مول المصطفي'!$G:$G,"&lt;&gt;",'مول المصطفي'!$F:$F,""))</f>
        <v>0</v>
      </c>
      <c r="AD22" s="5">
        <f>IF($A22="","",SUMIFS(مصانع!$D:$D,مصانع!$C:$C,$A22,مصانع!$F:$F,"&lt;&gt;")-SUMIFS(مصانع!$D:$D,مصانع!$C:$C,$A22,مصانع!$G:$G,"&lt;&gt;",مصانع!$F:$F,""))</f>
        <v>0</v>
      </c>
      <c r="AE22" s="6">
        <f t="shared" si="6"/>
        <v>11</v>
      </c>
      <c r="AF22" s="7" t="s">
        <v>105</v>
      </c>
      <c r="AG22" s="8">
        <v>156</v>
      </c>
      <c r="AH22" s="9">
        <f t="shared" si="5"/>
        <v>145</v>
      </c>
      <c r="AI22" s="8">
        <v>360</v>
      </c>
      <c r="AJ22" s="6">
        <f t="shared" si="4"/>
        <v>52200</v>
      </c>
    </row>
    <row r="23" spans="1:36">
      <c r="A23" s="19" t="s">
        <v>349</v>
      </c>
      <c r="B23" s="5">
        <f>IF($A23="","",SUMIFS('4K حموده'!$D:$D,'4K حموده'!$C:$C,$A23,'4K حموده'!$F:$F,"&lt;&gt;")-SUMIFS('4K حموده'!$D:$D,'4K حموده'!$C:$C,$A23,'4K حموده'!$G:$G,"&lt;&gt;",'4K حموده'!$F:$F,""))</f>
        <v>0</v>
      </c>
      <c r="C23" s="5">
        <f>IF($A23="","",SUMIFS('مكتب القاضي'!$D:$D,'مكتب القاضي'!$C:$C,$A23,'مكتب القاضي'!$F:$F,"&lt;&gt;")-SUMIFS('مكتب القاضي'!$D:$D,'مكتب القاضي'!$C:$C,$A23,'مكتب القاضي'!$G:$G,"&lt;&gt;",'مكتب القاضي'!$F:$F,""))</f>
        <v>0</v>
      </c>
      <c r="D23" s="5">
        <f>IF($A23="","",SUMIFS(الاتشو!$D:$D,الاتشو!$C:$C,$A23,الاتشو!$F:$F,"&lt;&gt;")-SUMIFS(الاتشو!$D:$D,الاتشو!$C:$C,$A23,الاتشو!$G:$G,"&lt;&gt;",الاتشو!$F:$F,""))</f>
        <v>0</v>
      </c>
      <c r="E23" s="5">
        <f>IF($A23="","",SUMIFS('علاء بوم ارض النت'!$D:$D,'علاء بوم ارض النت'!$C:$C,$A23,'علاء بوم ارض النت'!$F:$F,"&lt;&gt;")-SUMIFS('علاء بوم ارض النت'!$D:$D,'علاء بوم ارض النت'!$C:$C,$A23,'علاء بوم ارض النت'!$G:$G,"&lt;&gt;",'علاء بوم ارض النت'!$F:$F,""))</f>
        <v>0</v>
      </c>
      <c r="F23" s="5">
        <f>IF($A23="","",SUMIFS('كيمو ميت ابو خالد'!$D:$D,'كيمو ميت ابو خالد'!$C:$C,$A23,'كيمو ميت ابو خالد'!$F:$F,"&lt;&gt;")-SUMIFS('كيمو ميت ابو خالد'!$D:$D,'كيمو ميت ابو خالد'!$C:$C,$A23,'كيمو ميت ابو خالد'!$G:$G,"&lt;&gt;",'كيمو ميت ابو خالد'!$F:$F,""))</f>
        <v>0</v>
      </c>
      <c r="G23" s="5">
        <f>IF($A23="","",SUMIFS(KAZO!$D:$D,KAZO!$C:$C,$A23,KAZO!$F:$F,"&lt;&gt;")-SUMIFS(KAZO!$D:$D,KAZO!$C:$C,$A23,KAZO!$G:$G,"&lt;&gt;",KAZO!$F:$F,""))</f>
        <v>0</v>
      </c>
      <c r="H23" s="5">
        <f>IF($A23="","",SUMIFS(LAFY!$D:$D,LAFY!$C:$C,$A23,LAFY!$F:$F,"&lt;&gt;")-SUMIFS(LAFY!$D:$D,LAFY!$C:$C,$A23,LAFY!$G:$G,"&lt;&gt;",LAFY!$F:$F,""))</f>
        <v>0</v>
      </c>
      <c r="I23" s="5">
        <f>IF($A23="","",SUMIFS('POINT زفتي (جديد)'!$D:$D,'POINT زفتي (جديد)'!$C:$C,$A23,'POINT زفتي (جديد)'!$F:$F,"&lt;&gt;")-SUMIFS('POINT زفتي (جديد)'!$D:$D,'POINT زفتي (جديد)'!$C:$C,$A23,'POINT زفتي (جديد)'!$G:$G,"&lt;&gt;",'POINT زفتي (جديد)'!$F:$F,""))</f>
        <v>0</v>
      </c>
      <c r="J23" s="5">
        <f>IF($A23="","",SUMIFS('POINT سعد زغلول (قديم)'!$D:$D,'POINT سعد زغلول (قديم)'!$C:$C,$A23,'POINT سعد زغلول (قديم)'!$F:$F,"&lt;&gt;")-SUMIFS('POINT سعد زغلول (قديم)'!$D:$D,'POINT سعد زغلول (قديم)'!$C:$C,$A23,'POINT سعد زغلول (قديم)'!$G:$G,"&lt;&gt;",'POINT سعد زغلول (قديم)'!$F:$F,""))</f>
        <v>0</v>
      </c>
      <c r="K23" s="5">
        <f>IF($A23="","",SUMIFS('POWER ارض النت'!$D:$D,'POWER ارض النت'!$C:$C,$A23,'POWER ارض النت'!$F:$F,"&lt;&gt;")-SUMIFS('POWER ارض النت'!$D:$D,'POWER ارض النت'!$C:$C,$A23,'POWER ارض النت'!$G:$G,"&lt;&gt;",'POWER ارض النت'!$F:$F,""))</f>
        <v>0</v>
      </c>
      <c r="L23" s="5">
        <f>IF($A23="","",SUMIFS('POWER زفتي'!$D:$D,'POWER زفتي'!$C:$C,$A23,'POWER زفتي'!$F:$F,"&lt;&gt;")-SUMIFS('POWER زفتي'!$D:$D,'POWER زفتي'!$C:$C,$A23,'POWER زفتي'!$G:$G,"&lt;&gt;",'POWER زفتي'!$F:$F,""))</f>
        <v>0</v>
      </c>
      <c r="M23" s="5">
        <f>IF($A23="","",SUMIFS('احمد المنوفي'!$D:$D,'احمد المنوفي'!$C:$C,$A23,'احمد المنوفي'!$F:$F,"&lt;&gt;")-SUMIFS('احمد المنوفي'!$D:$D,'احمد المنوفي'!$C:$C,$A23,'احمد المنوفي'!$G:$G,"&lt;&gt;",'احمد المنوفي'!$F:$F,""))</f>
        <v>0</v>
      </c>
      <c r="N23" s="5">
        <f>IF($A23="","",SUMIFS(السفير!$D:$D,السفير!$C:$C,$A23,السفير!$F:$F,"&lt;&gt;")-SUMIFS(السفير!$D:$D,السفير!$C:$C,$A23,السفير!$G:$G,"&lt;&gt;",السفير!$F:$F,""))</f>
        <v>0</v>
      </c>
      <c r="O23" s="5">
        <f>IF($A23="","",SUMIFS(العالمي!$D:$D,العالمي!$C:$C,$A23,العالمي!$F:$F,"&lt;&gt;")-SUMIFS(العالمي!$D:$D,العالمي!$C:$C,$A23,العالمي!$G:$G,"&lt;&gt;",العالمي!$F:$F,""))</f>
        <v>0</v>
      </c>
      <c r="P23" s="5">
        <f>IF($A23="","",SUMIFS('باهي التركي'!$D:$D,'باهي التركي'!$C:$C,$A23,'باهي التركي'!$F:$F,"&lt;&gt;")-SUMIFS('باهي التركي'!$D:$D,'باهي التركي'!$C:$C,$A23,'باهي التركي'!$G:$G,"&lt;&gt;",'باهي التركي'!$F:$F,""))</f>
        <v>0</v>
      </c>
      <c r="Q23" s="5">
        <f>IF($A23="","",SUMIFS('توتي دماص'!$D:$D,'توتي دماص'!$C:$C,$A23,'توتي دماص'!$F:$F,"&lt;&gt;")-SUMIFS('توتي دماص'!$D:$D,'توتي دماص'!$C:$C,$A23,'توتي دماص'!$G:$G,"&lt;&gt;",'توتي دماص'!$F:$F,""))</f>
        <v>0</v>
      </c>
      <c r="R23" s="5">
        <f>IF($A23="","",SUMIFS('رضا محمد'!$D:$D,'رضا محمد'!$C:$C,$A23,'رضا محمد'!$F:$F,"&lt;&gt;")-SUMIFS('رضا محمد'!$D:$D,'رضا محمد'!$C:$C,$A23,'رضا محمد'!$G:$G,"&lt;&gt;",'رضا محمد'!$F:$F,""))</f>
        <v>0</v>
      </c>
      <c r="S23" s="5">
        <f>IF($A23="","",SUMIFS('زومبي العشري'!$D:$D,'زومبي العشري'!$C:$C,$A23,'زومبي العشري'!$F:$F,"&lt;&gt;")-SUMIFS('زومبي العشري'!$D:$D,'زومبي العشري'!$C:$C,$A23,'زومبي العشري'!$G:$G,"&lt;&gt;",'زومبي العشري'!$F:$F,""))</f>
        <v>0</v>
      </c>
      <c r="T23" s="5">
        <f>IF($A23="","",SUMIFS('محمد عرابي'!$D:$D,'محمد عرابي'!$C:$C,$A23,'محمد عرابي'!$F:$F,"&lt;&gt;")-SUMIFS('محمد عرابي'!$D:$D,'محمد عرابي'!$C:$C,$A23,'محمد عرابي'!$G:$G,"&lt;&gt;",'محمد عرابي'!$F:$F,""))</f>
        <v>0</v>
      </c>
      <c r="U23" s="5">
        <f>IF($A23="","",SUMIFS('عم جمال'!$D:$D,'عم جمال'!$C:$C,$A23,'عم جمال'!$F:$F,"&lt;&gt;")-SUMIFS('عم جمال'!$D:$D,'عم جمال'!$C:$C,$A23,'عم جمال'!$G:$G,"&lt;&gt;",'عم جمال'!$F:$F,""))</f>
        <v>0</v>
      </c>
      <c r="V23" s="5">
        <f>IF($A23="","",SUMIFS('فاير سيليكت'!$D:$D,'فاير سيليكت'!$C:$C,$A23,'فاير سيليكت'!$F:$F,"&lt;&gt;")-SUMIFS('فاير سيليكت'!$D:$D,'فاير سيليكت'!$C:$C,$A23,'فاير سيليكت'!$G:$G,"&lt;&gt;",'فاير سيليكت'!$F:$F,""))</f>
        <v>0</v>
      </c>
      <c r="W23" s="5">
        <f>IF($A23="","",SUMIFS(فرانكو!$D:$D,فرانكو!$C:$C,$A23,فرانكو!$F:$F,"&lt;&gt;")-SUMIFS(فرانكو!$D:$D,فرانكو!$C:$C,$A23,فرانكو!$G:$G,"&lt;&gt;",فرانكو!$F:$F,""))</f>
        <v>0</v>
      </c>
      <c r="X23" s="5">
        <f>IF($A23="","",SUMIFS('كريم بكر'!$D:$D,'كريم بكر'!$C:$C,$A23,'كريم بكر'!$F:$F,"&lt;&gt;")-SUMIFS('كريم بكر'!$D:$D,'كريم بكر'!$C:$C,$A23,'كريم بكر'!$G:$G,"&lt;&gt;",'كريم بكر'!$F:$F,""))</f>
        <v>0</v>
      </c>
      <c r="Y23" s="5">
        <f>IF($A23="","",SUMIFS(بفرا!$D:$D,بفرا!$C:$C,$A23,بفرا!$F:$F,"&lt;&gt;")-SUMIFS(بفرا!$D:$D,بفرا!$C:$C,$A23,بفرا!$G:$G,"&lt;&gt;",بفرا!$F:$F,""))</f>
        <v>0</v>
      </c>
      <c r="Z23" s="5">
        <f>IF($A23="","",SUMIFS('محل كوم النور'!$D:$D,'محل كوم النور'!$C:$C,$A23,'محل كوم النور'!$F:$F,"&lt;&gt;")-SUMIFS('محل كوم النور'!$D:$D,'محل كوم النور'!$C:$C,$A23,'محل كوم النور'!$G:$G,"&lt;&gt;",'محل كوم النور'!$F:$F,""))</f>
        <v>0</v>
      </c>
      <c r="AA23" s="5">
        <f>IF($A23="","",SUMIFS('محمد النجار'!$D:$D,'محمد النجار'!$C:$C,$A23,'محمد النجار'!$F:$F,"&lt;&gt;")-SUMIFS('محمد النجار'!$D:$D,'محمد النجار'!$C:$C,$A23,'محمد النجار'!$G:$G,"&lt;&gt;",'محمد النجار'!$F:$F,""))</f>
        <v>0</v>
      </c>
      <c r="AB23" s="5">
        <f>IF($A23="","",SUMIFS('محمود عبدالرسول'!$D:$D,'محمود عبدالرسول'!$C:$C,$A23,'محمود عبدالرسول'!$F:$F,"&lt;&gt;")-SUMIFS('محمود عبدالرسول'!$D:$D,'محمود عبدالرسول'!$C:$C,$A23,'محمود عبدالرسول'!$G:$G,"&lt;&gt;",'محمود عبدالرسول'!$F:$F,""))</f>
        <v>0</v>
      </c>
      <c r="AC23" s="5">
        <f>IF($A23="","",SUMIFS('مول المصطفي'!$D:$D,'مول المصطفي'!$C:$C,$A23,'مول المصطفي'!$F:$F,"&lt;&gt;")-SUMIFS('مول المصطفي'!$D:$D,'مول المصطفي'!$C:$C,$A23,'مول المصطفي'!$G:$G,"&lt;&gt;",'مول المصطفي'!$F:$F,""))</f>
        <v>0</v>
      </c>
      <c r="AD23" s="5">
        <f>IF($A23="","",SUMIFS(مصانع!$D:$D,مصانع!$C:$C,$A23,مصانع!$F:$F,"&lt;&gt;")-SUMIFS(مصانع!$D:$D,مصانع!$C:$C,$A23,مصانع!$G:$G,"&lt;&gt;",مصانع!$F:$F,""))</f>
        <v>0</v>
      </c>
      <c r="AE23" s="6">
        <f t="shared" si="6"/>
        <v>0</v>
      </c>
      <c r="AF23" s="18" t="s">
        <v>350</v>
      </c>
      <c r="AG23" s="8">
        <v>100</v>
      </c>
      <c r="AH23" s="9"/>
      <c r="AI23" s="8"/>
      <c r="AJ23" s="6"/>
    </row>
    <row r="24" spans="1:36">
      <c r="A24" s="4"/>
      <c r="B24" s="5" t="str">
        <f>IF($A24="","",SUMIFS('4K حموده'!$D:$D,'4K حموده'!$C:$C,$A24,'4K حموده'!$F:$F,"&lt;&gt;")-SUMIFS('4K حموده'!$D:$D,'4K حموده'!$C:$C,$A24,'4K حموده'!$G:$G,"&lt;&gt;",'4K حموده'!$F:$F,""))</f>
        <v/>
      </c>
      <c r="C24" s="5" t="str">
        <f>IF($A24="","",SUMIFS('مكتب القاضي'!$D:$D,'مكتب القاضي'!$C:$C,$A24,'مكتب القاضي'!$F:$F,"&lt;&gt;")-SUMIFS('مكتب القاضي'!$D:$D,'مكتب القاضي'!$C:$C,$A24,'مكتب القاضي'!$G:$G,"&lt;&gt;",'مكتب القاضي'!$F:$F,""))</f>
        <v/>
      </c>
      <c r="D24" s="5" t="str">
        <f>IF($A24="","",SUMIFS(الاتشو!$D:$D,الاتشو!$C:$C,$A24,الاتشو!$F:$F,"&lt;&gt;")-SUMIFS(الاتشو!$D:$D,الاتشو!$C:$C,$A24,الاتشو!$G:$G,"&lt;&gt;",الاتشو!$F:$F,""))</f>
        <v/>
      </c>
      <c r="E24" s="5" t="str">
        <f>IF($A24="","",SUMIFS('علاء بوم ارض النت'!$D:$D,'علاء بوم ارض النت'!$C:$C,$A24,'علاء بوم ارض النت'!$F:$F,"&lt;&gt;")-SUMIFS('علاء بوم ارض النت'!$D:$D,'علاء بوم ارض النت'!$C:$C,$A24,'علاء بوم ارض النت'!$G:$G,"&lt;&gt;",'علاء بوم ارض النت'!$F:$F,""))</f>
        <v/>
      </c>
      <c r="F24" s="5" t="str">
        <f>IF($A24="","",SUMIFS('كيمو ميت ابو خالد'!$D:$D,'كيمو ميت ابو خالد'!$C:$C,$A24,'كيمو ميت ابو خالد'!$F:$F,"&lt;&gt;")-SUMIFS('كيمو ميت ابو خالد'!$D:$D,'كيمو ميت ابو خالد'!$C:$C,$A24,'كيمو ميت ابو خالد'!$G:$G,"&lt;&gt;",'كيمو ميت ابو خالد'!$F:$F,""))</f>
        <v/>
      </c>
      <c r="G24" s="5" t="str">
        <f>IF($A24="","",SUMIFS(KAZO!$D:$D,KAZO!$C:$C,$A24,KAZO!$F:$F,"&lt;&gt;")-SUMIFS(KAZO!$D:$D,KAZO!$C:$C,$A24,KAZO!$G:$G,"&lt;&gt;",KAZO!$F:$F,""))</f>
        <v/>
      </c>
      <c r="H24" s="5" t="str">
        <f>IF($A24="","",SUMIFS(LAFY!$D:$D,LAFY!$C:$C,$A24,LAFY!$F:$F,"&lt;&gt;")-SUMIFS(LAFY!$D:$D,LAFY!$C:$C,$A24,LAFY!$G:$G,"&lt;&gt;",LAFY!$F:$F,""))</f>
        <v/>
      </c>
      <c r="I24" s="5" t="str">
        <f>IF($A24="","",SUMIFS('POINT زفتي (جديد)'!$D:$D,'POINT زفتي (جديد)'!$C:$C,$A24,'POINT زفتي (جديد)'!$F:$F,"&lt;&gt;")-SUMIFS('POINT زفتي (جديد)'!$D:$D,'POINT زفتي (جديد)'!$C:$C,$A24,'POINT زفتي (جديد)'!$G:$G,"&lt;&gt;",'POINT زفتي (جديد)'!$F:$F,""))</f>
        <v/>
      </c>
      <c r="J24" s="5" t="str">
        <f>IF($A24="","",SUMIFS('POINT سعد زغلول (قديم)'!$D:$D,'POINT سعد زغلول (قديم)'!$C:$C,$A24,'POINT سعد زغلول (قديم)'!$F:$F,"&lt;&gt;")-SUMIFS('POINT سعد زغلول (قديم)'!$D:$D,'POINT سعد زغلول (قديم)'!$C:$C,$A24,'POINT سعد زغلول (قديم)'!$G:$G,"&lt;&gt;",'POINT سعد زغلول (قديم)'!$F:$F,""))</f>
        <v/>
      </c>
      <c r="K24" s="5" t="str">
        <f>IF($A24="","",SUMIFS('POWER ارض النت'!$D:$D,'POWER ارض النت'!$C:$C,$A24,'POWER ارض النت'!$F:$F,"&lt;&gt;")-SUMIFS('POWER ارض النت'!$D:$D,'POWER ارض النت'!$C:$C,$A24,'POWER ارض النت'!$G:$G,"&lt;&gt;",'POWER ارض النت'!$F:$F,""))</f>
        <v/>
      </c>
      <c r="L24" s="5" t="str">
        <f>IF($A24="","",SUMIFS('POWER زفتي'!$D:$D,'POWER زفتي'!$C:$C,$A24,'POWER زفتي'!$F:$F,"&lt;&gt;")-SUMIFS('POWER زفتي'!$D:$D,'POWER زفتي'!$C:$C,$A24,'POWER زفتي'!$G:$G,"&lt;&gt;",'POWER زفتي'!$F:$F,""))</f>
        <v/>
      </c>
      <c r="M24" s="5" t="str">
        <f>IF($A24="","",SUMIFS('احمد المنوفي'!$D:$D,'احمد المنوفي'!$C:$C,$A24,'احمد المنوفي'!$F:$F,"&lt;&gt;")-SUMIFS('احمد المنوفي'!$D:$D,'احمد المنوفي'!$C:$C,$A24,'احمد المنوفي'!$G:$G,"&lt;&gt;",'احمد المنوفي'!$F:$F,""))</f>
        <v/>
      </c>
      <c r="N24" s="5" t="str">
        <f>IF($A24="","",SUMIFS(السفير!$D:$D,السفير!$C:$C,$A24,السفير!$F:$F,"&lt;&gt;")-SUMIFS(السفير!$D:$D,السفير!$C:$C,$A24,السفير!$G:$G,"&lt;&gt;",السفير!$F:$F,""))</f>
        <v/>
      </c>
      <c r="O24" s="5" t="str">
        <f>IF($A24="","",SUMIFS(العالمي!$D:$D,العالمي!$C:$C,$A24,العالمي!$F:$F,"&lt;&gt;")-SUMIFS(العالمي!$D:$D,العالمي!$C:$C,$A24,العالمي!$G:$G,"&lt;&gt;",العالمي!$F:$F,""))</f>
        <v/>
      </c>
      <c r="P24" s="5" t="str">
        <f>IF($A24="","",SUMIFS('باهي التركي'!$D:$D,'باهي التركي'!$C:$C,$A24,'باهي التركي'!$F:$F,"&lt;&gt;")-SUMIFS('باهي التركي'!$D:$D,'باهي التركي'!$C:$C,$A24,'باهي التركي'!$G:$G,"&lt;&gt;",'باهي التركي'!$F:$F,""))</f>
        <v/>
      </c>
      <c r="Q24" s="5" t="str">
        <f>IF($A24="","",SUMIFS('توتي دماص'!$D:$D,'توتي دماص'!$C:$C,$A24,'توتي دماص'!$F:$F,"&lt;&gt;")-SUMIFS('توتي دماص'!$D:$D,'توتي دماص'!$C:$C,$A24,'توتي دماص'!$G:$G,"&lt;&gt;",'توتي دماص'!$F:$F,""))</f>
        <v/>
      </c>
      <c r="R24" s="5" t="str">
        <f>IF($A24="","",SUMIFS('رضا محمد'!$D:$D,'رضا محمد'!$C:$C,$A24,'رضا محمد'!$F:$F,"&lt;&gt;")-SUMIFS('رضا محمد'!$D:$D,'رضا محمد'!$C:$C,$A24,'رضا محمد'!$G:$G,"&lt;&gt;",'رضا محمد'!$F:$F,""))</f>
        <v/>
      </c>
      <c r="S24" s="5" t="str">
        <f>IF($A24="","",SUMIFS('زومبي العشري'!$D:$D,'زومبي العشري'!$C:$C,$A24,'زومبي العشري'!$F:$F,"&lt;&gt;")-SUMIFS('زومبي العشري'!$D:$D,'زومبي العشري'!$C:$C,$A24,'زومبي العشري'!$G:$G,"&lt;&gt;",'زومبي العشري'!$F:$F,""))</f>
        <v/>
      </c>
      <c r="T24" s="5" t="str">
        <f>IF($A24="","",SUMIFS('محمد عرابي'!$D:$D,'محمد عرابي'!$C:$C,$A24,'محمد عرابي'!$F:$F,"&lt;&gt;")-SUMIFS('محمد عرابي'!$D:$D,'محمد عرابي'!$C:$C,$A24,'محمد عرابي'!$G:$G,"&lt;&gt;",'محمد عرابي'!$F:$F,""))</f>
        <v/>
      </c>
      <c r="U24" s="5" t="str">
        <f>IF($A24="","",SUMIFS('عم جمال'!$D:$D,'عم جمال'!$C:$C,$A24,'عم جمال'!$F:$F,"&lt;&gt;")-SUMIFS('عم جمال'!$D:$D,'عم جمال'!$C:$C,$A24,'عم جمال'!$G:$G,"&lt;&gt;",'عم جمال'!$F:$F,""))</f>
        <v/>
      </c>
      <c r="V24" s="5" t="str">
        <f>IF($A24="","",SUMIFS('فاير سيليكت'!$D:$D,'فاير سيليكت'!$C:$C,$A24,'فاير سيليكت'!$F:$F,"&lt;&gt;")-SUMIFS('فاير سيليكت'!$D:$D,'فاير سيليكت'!$C:$C,$A24,'فاير سيليكت'!$G:$G,"&lt;&gt;",'فاير سيليكت'!$F:$F,""))</f>
        <v/>
      </c>
      <c r="W24" s="5" t="str">
        <f>IF($A24="","",SUMIFS(فرانكو!$D:$D,فرانكو!$C:$C,$A24,فرانكو!$F:$F,"&lt;&gt;")-SUMIFS(فرانكو!$D:$D,فرانكو!$C:$C,$A24,فرانكو!$G:$G,"&lt;&gt;",فرانكو!$F:$F,""))</f>
        <v/>
      </c>
      <c r="X24" s="5" t="str">
        <f>IF($A24="","",SUMIFS('كريم بكر'!$D:$D,'كريم بكر'!$C:$C,$A24,'كريم بكر'!$F:$F,"&lt;&gt;")-SUMIFS('كريم بكر'!$D:$D,'كريم بكر'!$C:$C,$A24,'كريم بكر'!$G:$G,"&lt;&gt;",'كريم بكر'!$F:$F,""))</f>
        <v/>
      </c>
      <c r="Y24" s="5" t="str">
        <f>IF($A24="","",SUMIFS(بفرا!$D:$D,بفرا!$C:$C,$A24,بفرا!$F:$F,"&lt;&gt;")-SUMIFS(بفرا!$D:$D,بفرا!$C:$C,$A24,بفرا!$G:$G,"&lt;&gt;",بفرا!$F:$F,""))</f>
        <v/>
      </c>
      <c r="Z24" s="5" t="str">
        <f>IF($A24="","",SUMIFS('محل كوم النور'!$D:$D,'محل كوم النور'!$C:$C,$A24,'محل كوم النور'!$F:$F,"&lt;&gt;")-SUMIFS('محل كوم النور'!$D:$D,'محل كوم النور'!$C:$C,$A24,'محل كوم النور'!$G:$G,"&lt;&gt;",'محل كوم النور'!$F:$F,""))</f>
        <v/>
      </c>
      <c r="AA24" s="5" t="str">
        <f>IF($A24="","",SUMIFS('محمد النجار'!$D:$D,'محمد النجار'!$C:$C,$A24,'محمد النجار'!$F:$F,"&lt;&gt;")-SUMIFS('محمد النجار'!$D:$D,'محمد النجار'!$C:$C,$A24,'محمد النجار'!$G:$G,"&lt;&gt;",'محمد النجار'!$F:$F,""))</f>
        <v/>
      </c>
      <c r="AB24" s="5" t="str">
        <f>IF($A24="","",SUMIFS('محمود عبدالرسول'!$D:$D,'محمود عبدالرسول'!$C:$C,$A24,'محمود عبدالرسول'!$F:$F,"&lt;&gt;")-SUMIFS('محمود عبدالرسول'!$D:$D,'محمود عبدالرسول'!$C:$C,$A24,'محمود عبدالرسول'!$G:$G,"&lt;&gt;",'محمود عبدالرسول'!$F:$F,""))</f>
        <v/>
      </c>
      <c r="AC24" s="5" t="str">
        <f>IF($A24="","",SUMIFS('مول المصطفي'!$D:$D,'مول المصطفي'!$C:$C,$A24,'مول المصطفي'!$F:$F,"&lt;&gt;")-SUMIFS('مول المصطفي'!$D:$D,'مول المصطفي'!$C:$C,$A24,'مول المصطفي'!$G:$G,"&lt;&gt;",'مول المصطفي'!$F:$F,""))</f>
        <v/>
      </c>
      <c r="AD24" s="5" t="str">
        <f>IF($A24="","",SUMIFS(مصانع!$D:$D,مصانع!$C:$C,$A24,مصانع!$F:$F,"&lt;&gt;")-SUMIFS(مصانع!$D:$D,مصانع!$C:$C,$A24,مصانع!$G:$G,"&lt;&gt;",مصانع!$F:$F,""))</f>
        <v/>
      </c>
      <c r="AE24" s="6" t="str">
        <f t="shared" ref="AE24:AE34" si="7">IF($A24="","",SUM(B24:AD24))</f>
        <v/>
      </c>
      <c r="AF24" s="7"/>
      <c r="AG24" s="8"/>
      <c r="AH24" s="9" t="str">
        <f t="shared" si="5"/>
        <v/>
      </c>
      <c r="AI24" s="8"/>
      <c r="AJ24" s="6" t="str">
        <f t="shared" si="4"/>
        <v/>
      </c>
    </row>
    <row r="25" spans="1:36">
      <c r="A25" s="4"/>
      <c r="B25" s="5" t="str">
        <f>IF($A25="","",SUMIFS('4K حموده'!$D:$D,'4K حموده'!$C:$C,$A25,'4K حموده'!$F:$F,"&lt;&gt;")-SUMIFS('4K حموده'!$D:$D,'4K حموده'!$C:$C,$A25,'4K حموده'!$G:$G,"&lt;&gt;",'4K حموده'!$F:$F,""))</f>
        <v/>
      </c>
      <c r="C25" s="5" t="str">
        <f>IF($A25="","",SUMIFS('مكتب القاضي'!$D:$D,'مكتب القاضي'!$C:$C,$A25,'مكتب القاضي'!$F:$F,"&lt;&gt;")-SUMIFS('مكتب القاضي'!$D:$D,'مكتب القاضي'!$C:$C,$A25,'مكتب القاضي'!$G:$G,"&lt;&gt;",'مكتب القاضي'!$F:$F,""))</f>
        <v/>
      </c>
      <c r="D25" s="5" t="str">
        <f>IF($A25="","",SUMIFS(الاتشو!$D:$D,الاتشو!$C:$C,$A25,الاتشو!$F:$F,"&lt;&gt;")-SUMIFS(الاتشو!$D:$D,الاتشو!$C:$C,$A25,الاتشو!$G:$G,"&lt;&gt;",الاتشو!$F:$F,""))</f>
        <v/>
      </c>
      <c r="E25" s="5" t="str">
        <f>IF($A25="","",SUMIFS('علاء بوم ارض النت'!$D:$D,'علاء بوم ارض النت'!$C:$C,$A25,'علاء بوم ارض النت'!$F:$F,"&lt;&gt;")-SUMIFS('علاء بوم ارض النت'!$D:$D,'علاء بوم ارض النت'!$C:$C,$A25,'علاء بوم ارض النت'!$G:$G,"&lt;&gt;",'علاء بوم ارض النت'!$F:$F,""))</f>
        <v/>
      </c>
      <c r="F25" s="5" t="str">
        <f>IF($A25="","",SUMIFS('كيمو ميت ابو خالد'!$D:$D,'كيمو ميت ابو خالد'!$C:$C,$A25,'كيمو ميت ابو خالد'!$F:$F,"&lt;&gt;")-SUMIFS('كيمو ميت ابو خالد'!$D:$D,'كيمو ميت ابو خالد'!$C:$C,$A25,'كيمو ميت ابو خالد'!$G:$G,"&lt;&gt;",'كيمو ميت ابو خالد'!$F:$F,""))</f>
        <v/>
      </c>
      <c r="G25" s="5" t="str">
        <f>IF($A25="","",SUMIFS(KAZO!$D:$D,KAZO!$C:$C,$A25,KAZO!$F:$F,"&lt;&gt;")-SUMIFS(KAZO!$D:$D,KAZO!$C:$C,$A25,KAZO!$G:$G,"&lt;&gt;",KAZO!$F:$F,""))</f>
        <v/>
      </c>
      <c r="H25" s="5" t="str">
        <f>IF($A25="","",SUMIFS(LAFY!$D:$D,LAFY!$C:$C,$A25,LAFY!$F:$F,"&lt;&gt;")-SUMIFS(LAFY!$D:$D,LAFY!$C:$C,$A25,LAFY!$G:$G,"&lt;&gt;",LAFY!$F:$F,""))</f>
        <v/>
      </c>
      <c r="I25" s="5" t="str">
        <f>IF($A25="","",SUMIFS('POINT زفتي (جديد)'!$D:$D,'POINT زفتي (جديد)'!$C:$C,$A25,'POINT زفتي (جديد)'!$F:$F,"&lt;&gt;")-SUMIFS('POINT زفتي (جديد)'!$D:$D,'POINT زفتي (جديد)'!$C:$C,$A25,'POINT زفتي (جديد)'!$G:$G,"&lt;&gt;",'POINT زفتي (جديد)'!$F:$F,""))</f>
        <v/>
      </c>
      <c r="J25" s="5" t="str">
        <f>IF($A25="","",SUMIFS('POINT سعد زغلول (قديم)'!$D:$D,'POINT سعد زغلول (قديم)'!$C:$C,$A25,'POINT سعد زغلول (قديم)'!$F:$F,"&lt;&gt;")-SUMIFS('POINT سعد زغلول (قديم)'!$D:$D,'POINT سعد زغلول (قديم)'!$C:$C,$A25,'POINT سعد زغلول (قديم)'!$G:$G,"&lt;&gt;",'POINT سعد زغلول (قديم)'!$F:$F,""))</f>
        <v/>
      </c>
      <c r="K25" s="5" t="str">
        <f>IF($A25="","",SUMIFS('POWER ارض النت'!$D:$D,'POWER ارض النت'!$C:$C,$A25,'POWER ارض النت'!$F:$F,"&lt;&gt;")-SUMIFS('POWER ارض النت'!$D:$D,'POWER ارض النت'!$C:$C,$A25,'POWER ارض النت'!$G:$G,"&lt;&gt;",'POWER ارض النت'!$F:$F,""))</f>
        <v/>
      </c>
      <c r="L25" s="5" t="str">
        <f>IF($A25="","",SUMIFS('POWER زفتي'!$D:$D,'POWER زفتي'!$C:$C,$A25,'POWER زفتي'!$F:$F,"&lt;&gt;")-SUMIFS('POWER زفتي'!$D:$D,'POWER زفتي'!$C:$C,$A25,'POWER زفتي'!$G:$G,"&lt;&gt;",'POWER زفتي'!$F:$F,""))</f>
        <v/>
      </c>
      <c r="M25" s="5" t="str">
        <f>IF($A25="","",SUMIFS('احمد المنوفي'!$D:$D,'احمد المنوفي'!$C:$C,$A25,'احمد المنوفي'!$F:$F,"&lt;&gt;")-SUMIFS('احمد المنوفي'!$D:$D,'احمد المنوفي'!$C:$C,$A25,'احمد المنوفي'!$G:$G,"&lt;&gt;",'احمد المنوفي'!$F:$F,""))</f>
        <v/>
      </c>
      <c r="N25" s="5" t="str">
        <f>IF($A25="","",SUMIFS(السفير!$D:$D,السفير!$C:$C,$A25,السفير!$F:$F,"&lt;&gt;")-SUMIFS(السفير!$D:$D,السفير!$C:$C,$A25,السفير!$G:$G,"&lt;&gt;",السفير!$F:$F,""))</f>
        <v/>
      </c>
      <c r="O25" s="5" t="str">
        <f>IF($A25="","",SUMIFS(العالمي!$D:$D,العالمي!$C:$C,$A25,العالمي!$F:$F,"&lt;&gt;")-SUMIFS(العالمي!$D:$D,العالمي!$C:$C,$A25,العالمي!$G:$G,"&lt;&gt;",العالمي!$F:$F,""))</f>
        <v/>
      </c>
      <c r="P25" s="5" t="str">
        <f>IF($A25="","",SUMIFS('باهي التركي'!$D:$D,'باهي التركي'!$C:$C,$A25,'باهي التركي'!$F:$F,"&lt;&gt;")-SUMIFS('باهي التركي'!$D:$D,'باهي التركي'!$C:$C,$A25,'باهي التركي'!$G:$G,"&lt;&gt;",'باهي التركي'!$F:$F,""))</f>
        <v/>
      </c>
      <c r="Q25" s="5" t="str">
        <f>IF($A25="","",SUMIFS('توتي دماص'!$D:$D,'توتي دماص'!$C:$C,$A25,'توتي دماص'!$F:$F,"&lt;&gt;")-SUMIFS('توتي دماص'!$D:$D,'توتي دماص'!$C:$C,$A25,'توتي دماص'!$G:$G,"&lt;&gt;",'توتي دماص'!$F:$F,""))</f>
        <v/>
      </c>
      <c r="R25" s="5" t="str">
        <f>IF($A25="","",SUMIFS('رضا محمد'!$D:$D,'رضا محمد'!$C:$C,$A25,'رضا محمد'!$F:$F,"&lt;&gt;")-SUMIFS('رضا محمد'!$D:$D,'رضا محمد'!$C:$C,$A25,'رضا محمد'!$G:$G,"&lt;&gt;",'رضا محمد'!$F:$F,""))</f>
        <v/>
      </c>
      <c r="S25" s="5" t="str">
        <f>IF($A25="","",SUMIFS('زومبي العشري'!$D:$D,'زومبي العشري'!$C:$C,$A25,'زومبي العشري'!$F:$F,"&lt;&gt;")-SUMIFS('زومبي العشري'!$D:$D,'زومبي العشري'!$C:$C,$A25,'زومبي العشري'!$G:$G,"&lt;&gt;",'زومبي العشري'!$F:$F,""))</f>
        <v/>
      </c>
      <c r="T25" s="5" t="str">
        <f>IF($A25="","",SUMIFS('محمد عرابي'!$D:$D,'محمد عرابي'!$C:$C,$A25,'محمد عرابي'!$F:$F,"&lt;&gt;")-SUMIFS('محمد عرابي'!$D:$D,'محمد عرابي'!$C:$C,$A25,'محمد عرابي'!$G:$G,"&lt;&gt;",'محمد عرابي'!$F:$F,""))</f>
        <v/>
      </c>
      <c r="U25" s="5" t="str">
        <f>IF($A25="","",SUMIFS('عم جمال'!$D:$D,'عم جمال'!$C:$C,$A25,'عم جمال'!$F:$F,"&lt;&gt;")-SUMIFS('عم جمال'!$D:$D,'عم جمال'!$C:$C,$A25,'عم جمال'!$G:$G,"&lt;&gt;",'عم جمال'!$F:$F,""))</f>
        <v/>
      </c>
      <c r="V25" s="5" t="str">
        <f>IF($A25="","",SUMIFS('فاير سيليكت'!$D:$D,'فاير سيليكت'!$C:$C,$A25,'فاير سيليكت'!$F:$F,"&lt;&gt;")-SUMIFS('فاير سيليكت'!$D:$D,'فاير سيليكت'!$C:$C,$A25,'فاير سيليكت'!$G:$G,"&lt;&gt;",'فاير سيليكت'!$F:$F,""))</f>
        <v/>
      </c>
      <c r="W25" s="5" t="str">
        <f>IF($A25="","",SUMIFS(فرانكو!$D:$D,فرانكو!$C:$C,$A25,فرانكو!$F:$F,"&lt;&gt;")-SUMIFS(فرانكو!$D:$D,فرانكو!$C:$C,$A25,فرانكو!$G:$G,"&lt;&gt;",فرانكو!$F:$F,""))</f>
        <v/>
      </c>
      <c r="X25" s="5" t="str">
        <f>IF($A25="","",SUMIFS('كريم بكر'!$D:$D,'كريم بكر'!$C:$C,$A25,'كريم بكر'!$F:$F,"&lt;&gt;")-SUMIFS('كريم بكر'!$D:$D,'كريم بكر'!$C:$C,$A25,'كريم بكر'!$G:$G,"&lt;&gt;",'كريم بكر'!$F:$F,""))</f>
        <v/>
      </c>
      <c r="Y25" s="5" t="str">
        <f>IF($A25="","",SUMIFS(بفرا!$D:$D,بفرا!$C:$C,$A25,بفرا!$F:$F,"&lt;&gt;")-SUMIFS(بفرا!$D:$D,بفرا!$C:$C,$A25,بفرا!$G:$G,"&lt;&gt;",بفرا!$F:$F,""))</f>
        <v/>
      </c>
      <c r="Z25" s="5" t="str">
        <f>IF($A25="","",SUMIFS('محل كوم النور'!$D:$D,'محل كوم النور'!$C:$C,$A25,'محل كوم النور'!$F:$F,"&lt;&gt;")-SUMIFS('محل كوم النور'!$D:$D,'محل كوم النور'!$C:$C,$A25,'محل كوم النور'!$G:$G,"&lt;&gt;",'محل كوم النور'!$F:$F,""))</f>
        <v/>
      </c>
      <c r="AA25" s="5" t="str">
        <f>IF($A25="","",SUMIFS('محمد النجار'!$D:$D,'محمد النجار'!$C:$C,$A25,'محمد النجار'!$F:$F,"&lt;&gt;")-SUMIFS('محمد النجار'!$D:$D,'محمد النجار'!$C:$C,$A25,'محمد النجار'!$G:$G,"&lt;&gt;",'محمد النجار'!$F:$F,""))</f>
        <v/>
      </c>
      <c r="AB25" s="5" t="str">
        <f>IF($A25="","",SUMIFS('محمود عبدالرسول'!$D:$D,'محمود عبدالرسول'!$C:$C,$A25,'محمود عبدالرسول'!$F:$F,"&lt;&gt;")-SUMIFS('محمود عبدالرسول'!$D:$D,'محمود عبدالرسول'!$C:$C,$A25,'محمود عبدالرسول'!$G:$G,"&lt;&gt;",'محمود عبدالرسول'!$F:$F,""))</f>
        <v/>
      </c>
      <c r="AC25" s="5" t="str">
        <f>IF($A25="","",SUMIFS('مول المصطفي'!$D:$D,'مول المصطفي'!$C:$C,$A25,'مول المصطفي'!$F:$F,"&lt;&gt;")-SUMIFS('مول المصطفي'!$D:$D,'مول المصطفي'!$C:$C,$A25,'مول المصطفي'!$G:$G,"&lt;&gt;",'مول المصطفي'!$F:$F,""))</f>
        <v/>
      </c>
      <c r="AD25" s="5" t="str">
        <f>IF($A25="","",SUMIFS(مصانع!$D:$D,مصانع!$C:$C,$A25,مصانع!$F:$F,"&lt;&gt;")-SUMIFS(مصانع!$D:$D,مصانع!$C:$C,$A25,مصانع!$G:$G,"&lt;&gt;",مصانع!$F:$F,""))</f>
        <v/>
      </c>
      <c r="AE25" s="6" t="str">
        <f t="shared" si="7"/>
        <v/>
      </c>
      <c r="AF25" s="7"/>
      <c r="AG25" s="8"/>
      <c r="AH25" s="9" t="str">
        <f t="shared" si="5"/>
        <v/>
      </c>
      <c r="AI25" s="8"/>
      <c r="AJ25" s="6" t="str">
        <f t="shared" si="4"/>
        <v/>
      </c>
    </row>
    <row r="26" spans="1:36">
      <c r="A26" s="4"/>
      <c r="B26" s="5" t="str">
        <f>IF($A26="","",SUMIFS('4K حموده'!$D:$D,'4K حموده'!$C:$C,$A26,'4K حموده'!$F:$F,"&lt;&gt;")-SUMIFS('4K حموده'!$D:$D,'4K حموده'!$C:$C,$A26,'4K حموده'!$G:$G,"&lt;&gt;",'4K حموده'!$F:$F,""))</f>
        <v/>
      </c>
      <c r="C26" s="5" t="str">
        <f>IF($A26="","",SUMIFS('مكتب القاضي'!$D:$D,'مكتب القاضي'!$C:$C,$A26,'مكتب القاضي'!$F:$F,"&lt;&gt;")-SUMIFS('مكتب القاضي'!$D:$D,'مكتب القاضي'!$C:$C,$A26,'مكتب القاضي'!$G:$G,"&lt;&gt;",'مكتب القاضي'!$F:$F,""))</f>
        <v/>
      </c>
      <c r="D26" s="5" t="str">
        <f>IF($A26="","",SUMIFS(الاتشو!$D:$D,الاتشو!$C:$C,$A26,الاتشو!$F:$F,"&lt;&gt;")-SUMIFS(الاتشو!$D:$D,الاتشو!$C:$C,$A26,الاتشو!$G:$G,"&lt;&gt;",الاتشو!$F:$F,""))</f>
        <v/>
      </c>
      <c r="E26" s="5" t="str">
        <f>IF($A26="","",SUMIFS('علاء بوم ارض النت'!$D:$D,'علاء بوم ارض النت'!$C:$C,$A26,'علاء بوم ارض النت'!$F:$F,"&lt;&gt;")-SUMIFS('علاء بوم ارض النت'!$D:$D,'علاء بوم ارض النت'!$C:$C,$A26,'علاء بوم ارض النت'!$G:$G,"&lt;&gt;",'علاء بوم ارض النت'!$F:$F,""))</f>
        <v/>
      </c>
      <c r="F26" s="5" t="str">
        <f>IF($A26="","",SUMIFS('كيمو ميت ابو خالد'!$D:$D,'كيمو ميت ابو خالد'!$C:$C,$A26,'كيمو ميت ابو خالد'!$F:$F,"&lt;&gt;")-SUMIFS('كيمو ميت ابو خالد'!$D:$D,'كيمو ميت ابو خالد'!$C:$C,$A26,'كيمو ميت ابو خالد'!$G:$G,"&lt;&gt;",'كيمو ميت ابو خالد'!$F:$F,""))</f>
        <v/>
      </c>
      <c r="G26" s="5" t="str">
        <f>IF($A26="","",SUMIFS(KAZO!$D:$D,KAZO!$C:$C,$A26,KAZO!$F:$F,"&lt;&gt;")-SUMIFS(KAZO!$D:$D,KAZO!$C:$C,$A26,KAZO!$G:$G,"&lt;&gt;",KAZO!$F:$F,""))</f>
        <v/>
      </c>
      <c r="H26" s="5" t="str">
        <f>IF($A26="","",SUMIFS(LAFY!$D:$D,LAFY!$C:$C,$A26,LAFY!$F:$F,"&lt;&gt;")-SUMIFS(LAFY!$D:$D,LAFY!$C:$C,$A26,LAFY!$G:$G,"&lt;&gt;",LAFY!$F:$F,""))</f>
        <v/>
      </c>
      <c r="I26" s="5" t="str">
        <f>IF($A26="","",SUMIFS('POINT زفتي (جديد)'!$D:$D,'POINT زفتي (جديد)'!$C:$C,$A26,'POINT زفتي (جديد)'!$F:$F,"&lt;&gt;")-SUMIFS('POINT زفتي (جديد)'!$D:$D,'POINT زفتي (جديد)'!$C:$C,$A26,'POINT زفتي (جديد)'!$G:$G,"&lt;&gt;",'POINT زفتي (جديد)'!$F:$F,""))</f>
        <v/>
      </c>
      <c r="J26" s="5" t="str">
        <f>IF($A26="","",SUMIFS('POINT سعد زغلول (قديم)'!$D:$D,'POINT سعد زغلول (قديم)'!$C:$C,$A26,'POINT سعد زغلول (قديم)'!$F:$F,"&lt;&gt;")-SUMIFS('POINT سعد زغلول (قديم)'!$D:$D,'POINT سعد زغلول (قديم)'!$C:$C,$A26,'POINT سعد زغلول (قديم)'!$G:$G,"&lt;&gt;",'POINT سعد زغلول (قديم)'!$F:$F,""))</f>
        <v/>
      </c>
      <c r="K26" s="5" t="str">
        <f>IF($A26="","",SUMIFS('POWER ارض النت'!$D:$D,'POWER ارض النت'!$C:$C,$A26,'POWER ارض النت'!$F:$F,"&lt;&gt;")-SUMIFS('POWER ارض النت'!$D:$D,'POWER ارض النت'!$C:$C,$A26,'POWER ارض النت'!$G:$G,"&lt;&gt;",'POWER ارض النت'!$F:$F,""))</f>
        <v/>
      </c>
      <c r="L26" s="5" t="str">
        <f>IF($A26="","",SUMIFS('POWER زفتي'!$D:$D,'POWER زفتي'!$C:$C,$A26,'POWER زفتي'!$F:$F,"&lt;&gt;")-SUMIFS('POWER زفتي'!$D:$D,'POWER زفتي'!$C:$C,$A26,'POWER زفتي'!$G:$G,"&lt;&gt;",'POWER زفتي'!$F:$F,""))</f>
        <v/>
      </c>
      <c r="M26" s="5" t="str">
        <f>IF($A26="","",SUMIFS('احمد المنوفي'!$D:$D,'احمد المنوفي'!$C:$C,$A26,'احمد المنوفي'!$F:$F,"&lt;&gt;")-SUMIFS('احمد المنوفي'!$D:$D,'احمد المنوفي'!$C:$C,$A26,'احمد المنوفي'!$G:$G,"&lt;&gt;",'احمد المنوفي'!$F:$F,""))</f>
        <v/>
      </c>
      <c r="N26" s="5" t="str">
        <f>IF($A26="","",SUMIFS(السفير!$D:$D,السفير!$C:$C,$A26,السفير!$F:$F,"&lt;&gt;")-SUMIFS(السفير!$D:$D,السفير!$C:$C,$A26,السفير!$G:$G,"&lt;&gt;",السفير!$F:$F,""))</f>
        <v/>
      </c>
      <c r="O26" s="5" t="str">
        <f>IF($A26="","",SUMIFS(العالمي!$D:$D,العالمي!$C:$C,$A26,العالمي!$F:$F,"&lt;&gt;")-SUMIFS(العالمي!$D:$D,العالمي!$C:$C,$A26,العالمي!$G:$G,"&lt;&gt;",العالمي!$F:$F,""))</f>
        <v/>
      </c>
      <c r="P26" s="5" t="str">
        <f>IF($A26="","",SUMIFS('باهي التركي'!$D:$D,'باهي التركي'!$C:$C,$A26,'باهي التركي'!$F:$F,"&lt;&gt;")-SUMIFS('باهي التركي'!$D:$D,'باهي التركي'!$C:$C,$A26,'باهي التركي'!$G:$G,"&lt;&gt;",'باهي التركي'!$F:$F,""))</f>
        <v/>
      </c>
      <c r="Q26" s="5" t="str">
        <f>IF($A26="","",SUMIFS('توتي دماص'!$D:$D,'توتي دماص'!$C:$C,$A26,'توتي دماص'!$F:$F,"&lt;&gt;")-SUMIFS('توتي دماص'!$D:$D,'توتي دماص'!$C:$C,$A26,'توتي دماص'!$G:$G,"&lt;&gt;",'توتي دماص'!$F:$F,""))</f>
        <v/>
      </c>
      <c r="R26" s="5" t="str">
        <f>IF($A26="","",SUMIFS('رضا محمد'!$D:$D,'رضا محمد'!$C:$C,$A26,'رضا محمد'!$F:$F,"&lt;&gt;")-SUMIFS('رضا محمد'!$D:$D,'رضا محمد'!$C:$C,$A26,'رضا محمد'!$G:$G,"&lt;&gt;",'رضا محمد'!$F:$F,""))</f>
        <v/>
      </c>
      <c r="S26" s="5" t="str">
        <f>IF($A26="","",SUMIFS('زومبي العشري'!$D:$D,'زومبي العشري'!$C:$C,$A26,'زومبي العشري'!$F:$F,"&lt;&gt;")-SUMIFS('زومبي العشري'!$D:$D,'زومبي العشري'!$C:$C,$A26,'زومبي العشري'!$G:$G,"&lt;&gt;",'زومبي العشري'!$F:$F,""))</f>
        <v/>
      </c>
      <c r="T26" s="5" t="str">
        <f>IF($A26="","",SUMIFS('محمد عرابي'!$D:$D,'محمد عرابي'!$C:$C,$A26,'محمد عرابي'!$F:$F,"&lt;&gt;")-SUMIFS('محمد عرابي'!$D:$D,'محمد عرابي'!$C:$C,$A26,'محمد عرابي'!$G:$G,"&lt;&gt;",'محمد عرابي'!$F:$F,""))</f>
        <v/>
      </c>
      <c r="U26" s="5" t="str">
        <f>IF($A26="","",SUMIFS('عم جمال'!$D:$D,'عم جمال'!$C:$C,$A26,'عم جمال'!$F:$F,"&lt;&gt;")-SUMIFS('عم جمال'!$D:$D,'عم جمال'!$C:$C,$A26,'عم جمال'!$G:$G,"&lt;&gt;",'عم جمال'!$F:$F,""))</f>
        <v/>
      </c>
      <c r="V26" s="5" t="str">
        <f>IF($A26="","",SUMIFS('فاير سيليكت'!$D:$D,'فاير سيليكت'!$C:$C,$A26,'فاير سيليكت'!$F:$F,"&lt;&gt;")-SUMIFS('فاير سيليكت'!$D:$D,'فاير سيليكت'!$C:$C,$A26,'فاير سيليكت'!$G:$G,"&lt;&gt;",'فاير سيليكت'!$F:$F,""))</f>
        <v/>
      </c>
      <c r="W26" s="5" t="str">
        <f>IF($A26="","",SUMIFS(فرانكو!$D:$D,فرانكو!$C:$C,$A26,فرانكو!$F:$F,"&lt;&gt;")-SUMIFS(فرانكو!$D:$D,فرانكو!$C:$C,$A26,فرانكو!$G:$G,"&lt;&gt;",فرانكو!$F:$F,""))</f>
        <v/>
      </c>
      <c r="X26" s="5" t="str">
        <f>IF($A26="","",SUMIFS('كريم بكر'!$D:$D,'كريم بكر'!$C:$C,$A26,'كريم بكر'!$F:$F,"&lt;&gt;")-SUMIFS('كريم بكر'!$D:$D,'كريم بكر'!$C:$C,$A26,'كريم بكر'!$G:$G,"&lt;&gt;",'كريم بكر'!$F:$F,""))</f>
        <v/>
      </c>
      <c r="Y26" s="5" t="str">
        <f>IF($A26="","",SUMIFS(بفرا!$D:$D,بفرا!$C:$C,$A26,بفرا!$F:$F,"&lt;&gt;")-SUMIFS(بفرا!$D:$D,بفرا!$C:$C,$A26,بفرا!$G:$G,"&lt;&gt;",بفرا!$F:$F,""))</f>
        <v/>
      </c>
      <c r="Z26" s="5" t="str">
        <f>IF($A26="","",SUMIFS('محل كوم النور'!$D:$D,'محل كوم النور'!$C:$C,$A26,'محل كوم النور'!$F:$F,"&lt;&gt;")-SUMIFS('محل كوم النور'!$D:$D,'محل كوم النور'!$C:$C,$A26,'محل كوم النور'!$G:$G,"&lt;&gt;",'محل كوم النور'!$F:$F,""))</f>
        <v/>
      </c>
      <c r="AA26" s="5" t="str">
        <f>IF($A26="","",SUMIFS('محمد النجار'!$D:$D,'محمد النجار'!$C:$C,$A26,'محمد النجار'!$F:$F,"&lt;&gt;")-SUMIFS('محمد النجار'!$D:$D,'محمد النجار'!$C:$C,$A26,'محمد النجار'!$G:$G,"&lt;&gt;",'محمد النجار'!$F:$F,""))</f>
        <v/>
      </c>
      <c r="AB26" s="5" t="str">
        <f>IF($A26="","",SUMIFS('محمود عبدالرسول'!$D:$D,'محمود عبدالرسول'!$C:$C,$A26,'محمود عبدالرسول'!$F:$F,"&lt;&gt;")-SUMIFS('محمود عبدالرسول'!$D:$D,'محمود عبدالرسول'!$C:$C,$A26,'محمود عبدالرسول'!$G:$G,"&lt;&gt;",'محمود عبدالرسول'!$F:$F,""))</f>
        <v/>
      </c>
      <c r="AC26" s="5" t="str">
        <f>IF($A26="","",SUMIFS('مول المصطفي'!$D:$D,'مول المصطفي'!$C:$C,$A26,'مول المصطفي'!$F:$F,"&lt;&gt;")-SUMIFS('مول المصطفي'!$D:$D,'مول المصطفي'!$C:$C,$A26,'مول المصطفي'!$G:$G,"&lt;&gt;",'مول المصطفي'!$F:$F,""))</f>
        <v/>
      </c>
      <c r="AD26" s="5" t="str">
        <f>IF($A26="","",SUMIFS(مصانع!$D:$D,مصانع!$C:$C,$A26,مصانع!$F:$F,"&lt;&gt;")-SUMIFS(مصانع!$D:$D,مصانع!$C:$C,$A26,مصانع!$G:$G,"&lt;&gt;",مصانع!$F:$F,""))</f>
        <v/>
      </c>
      <c r="AE26" s="6" t="str">
        <f t="shared" si="7"/>
        <v/>
      </c>
      <c r="AF26" s="7"/>
      <c r="AG26" s="8"/>
      <c r="AH26" s="9" t="str">
        <f t="shared" si="5"/>
        <v/>
      </c>
      <c r="AI26" s="8"/>
      <c r="AJ26" s="6" t="str">
        <f t="shared" si="4"/>
        <v/>
      </c>
    </row>
    <row r="27" spans="1:36">
      <c r="A27" s="4"/>
      <c r="B27" s="5" t="str">
        <f>IF($A27="","",SUMIFS('4K حموده'!$D:$D,'4K حموده'!$C:$C,$A27,'4K حموده'!$F:$F,"&lt;&gt;")-SUMIFS('4K حموده'!$D:$D,'4K حموده'!$C:$C,$A27,'4K حموده'!$G:$G,"&lt;&gt;",'4K حموده'!$F:$F,""))</f>
        <v/>
      </c>
      <c r="C27" s="5" t="str">
        <f>IF($A27="","",SUMIFS('مكتب القاضي'!$D:$D,'مكتب القاضي'!$C:$C,$A27,'مكتب القاضي'!$F:$F,"&lt;&gt;")-SUMIFS('مكتب القاضي'!$D:$D,'مكتب القاضي'!$C:$C,$A27,'مكتب القاضي'!$G:$G,"&lt;&gt;",'مكتب القاضي'!$F:$F,""))</f>
        <v/>
      </c>
      <c r="D27" s="5" t="str">
        <f>IF($A27="","",SUMIFS(الاتشو!$D:$D,الاتشو!$C:$C,$A27,الاتشو!$F:$F,"&lt;&gt;")-SUMIFS(الاتشو!$D:$D,الاتشو!$C:$C,$A27,الاتشو!$G:$G,"&lt;&gt;",الاتشو!$F:$F,""))</f>
        <v/>
      </c>
      <c r="E27" s="5" t="str">
        <f>IF($A27="","",SUMIFS('علاء بوم ارض النت'!$D:$D,'علاء بوم ارض النت'!$C:$C,$A27,'علاء بوم ارض النت'!$F:$F,"&lt;&gt;")-SUMIFS('علاء بوم ارض النت'!$D:$D,'علاء بوم ارض النت'!$C:$C,$A27,'علاء بوم ارض النت'!$G:$G,"&lt;&gt;",'علاء بوم ارض النت'!$F:$F,""))</f>
        <v/>
      </c>
      <c r="F27" s="5" t="str">
        <f>IF($A27="","",SUMIFS('كيمو ميت ابو خالد'!$D:$D,'كيمو ميت ابو خالد'!$C:$C,$A27,'كيمو ميت ابو خالد'!$F:$F,"&lt;&gt;")-SUMIFS('كيمو ميت ابو خالد'!$D:$D,'كيمو ميت ابو خالد'!$C:$C,$A27,'كيمو ميت ابو خالد'!$G:$G,"&lt;&gt;",'كيمو ميت ابو خالد'!$F:$F,""))</f>
        <v/>
      </c>
      <c r="G27" s="5" t="str">
        <f>IF($A27="","",SUMIFS(KAZO!$D:$D,KAZO!$C:$C,$A27,KAZO!$F:$F,"&lt;&gt;")-SUMIFS(KAZO!$D:$D,KAZO!$C:$C,$A27,KAZO!$G:$G,"&lt;&gt;",KAZO!$F:$F,""))</f>
        <v/>
      </c>
      <c r="H27" s="5" t="str">
        <f>IF($A27="","",SUMIFS(LAFY!$D:$D,LAFY!$C:$C,$A27,LAFY!$F:$F,"&lt;&gt;")-SUMIFS(LAFY!$D:$D,LAFY!$C:$C,$A27,LAFY!$G:$G,"&lt;&gt;",LAFY!$F:$F,""))</f>
        <v/>
      </c>
      <c r="I27" s="5" t="str">
        <f>IF($A27="","",SUMIFS('POINT زفتي (جديد)'!$D:$D,'POINT زفتي (جديد)'!$C:$C,$A27,'POINT زفتي (جديد)'!$F:$F,"&lt;&gt;")-SUMIFS('POINT زفتي (جديد)'!$D:$D,'POINT زفتي (جديد)'!$C:$C,$A27,'POINT زفتي (جديد)'!$G:$G,"&lt;&gt;",'POINT زفتي (جديد)'!$F:$F,""))</f>
        <v/>
      </c>
      <c r="J27" s="5" t="str">
        <f>IF($A27="","",SUMIFS('POINT سعد زغلول (قديم)'!$D:$D,'POINT سعد زغلول (قديم)'!$C:$C,$A27,'POINT سعد زغلول (قديم)'!$F:$F,"&lt;&gt;")-SUMIFS('POINT سعد زغلول (قديم)'!$D:$D,'POINT سعد زغلول (قديم)'!$C:$C,$A27,'POINT سعد زغلول (قديم)'!$G:$G,"&lt;&gt;",'POINT سعد زغلول (قديم)'!$F:$F,""))</f>
        <v/>
      </c>
      <c r="K27" s="5" t="str">
        <f>IF($A27="","",SUMIFS('POWER ارض النت'!$D:$D,'POWER ارض النت'!$C:$C,$A27,'POWER ارض النت'!$F:$F,"&lt;&gt;")-SUMIFS('POWER ارض النت'!$D:$D,'POWER ارض النت'!$C:$C,$A27,'POWER ارض النت'!$G:$G,"&lt;&gt;",'POWER ارض النت'!$F:$F,""))</f>
        <v/>
      </c>
      <c r="L27" s="5" t="str">
        <f>IF($A27="","",SUMIFS('POWER زفتي'!$D:$D,'POWER زفتي'!$C:$C,$A27,'POWER زفتي'!$F:$F,"&lt;&gt;")-SUMIFS('POWER زفتي'!$D:$D,'POWER زفتي'!$C:$C,$A27,'POWER زفتي'!$G:$G,"&lt;&gt;",'POWER زفتي'!$F:$F,""))</f>
        <v/>
      </c>
      <c r="M27" s="5" t="str">
        <f>IF($A27="","",SUMIFS('احمد المنوفي'!$D:$D,'احمد المنوفي'!$C:$C,$A27,'احمد المنوفي'!$F:$F,"&lt;&gt;")-SUMIFS('احمد المنوفي'!$D:$D,'احمد المنوفي'!$C:$C,$A27,'احمد المنوفي'!$G:$G,"&lt;&gt;",'احمد المنوفي'!$F:$F,""))</f>
        <v/>
      </c>
      <c r="N27" s="5" t="str">
        <f>IF($A27="","",SUMIFS(السفير!$D:$D,السفير!$C:$C,$A27,السفير!$F:$F,"&lt;&gt;")-SUMIFS(السفير!$D:$D,السفير!$C:$C,$A27,السفير!$G:$G,"&lt;&gt;",السفير!$F:$F,""))</f>
        <v/>
      </c>
      <c r="O27" s="5" t="str">
        <f>IF($A27="","",SUMIFS(العالمي!$D:$D,العالمي!$C:$C,$A27,العالمي!$F:$F,"&lt;&gt;")-SUMIFS(العالمي!$D:$D,العالمي!$C:$C,$A27,العالمي!$G:$G,"&lt;&gt;",العالمي!$F:$F,""))</f>
        <v/>
      </c>
      <c r="P27" s="5" t="str">
        <f>IF($A27="","",SUMIFS('باهي التركي'!$D:$D,'باهي التركي'!$C:$C,$A27,'باهي التركي'!$F:$F,"&lt;&gt;")-SUMIFS('باهي التركي'!$D:$D,'باهي التركي'!$C:$C,$A27,'باهي التركي'!$G:$G,"&lt;&gt;",'باهي التركي'!$F:$F,""))</f>
        <v/>
      </c>
      <c r="Q27" s="5" t="str">
        <f>IF($A27="","",SUMIFS('توتي دماص'!$D:$D,'توتي دماص'!$C:$C,$A27,'توتي دماص'!$F:$F,"&lt;&gt;")-SUMIFS('توتي دماص'!$D:$D,'توتي دماص'!$C:$C,$A27,'توتي دماص'!$G:$G,"&lt;&gt;",'توتي دماص'!$F:$F,""))</f>
        <v/>
      </c>
      <c r="R27" s="5" t="str">
        <f>IF($A27="","",SUMIFS('رضا محمد'!$D:$D,'رضا محمد'!$C:$C,$A27,'رضا محمد'!$F:$F,"&lt;&gt;")-SUMIFS('رضا محمد'!$D:$D,'رضا محمد'!$C:$C,$A27,'رضا محمد'!$G:$G,"&lt;&gt;",'رضا محمد'!$F:$F,""))</f>
        <v/>
      </c>
      <c r="S27" s="5" t="str">
        <f>IF($A27="","",SUMIFS('زومبي العشري'!$D:$D,'زومبي العشري'!$C:$C,$A27,'زومبي العشري'!$F:$F,"&lt;&gt;")-SUMIFS('زومبي العشري'!$D:$D,'زومبي العشري'!$C:$C,$A27,'زومبي العشري'!$G:$G,"&lt;&gt;",'زومبي العشري'!$F:$F,""))</f>
        <v/>
      </c>
      <c r="T27" s="5" t="str">
        <f>IF($A27="","",SUMIFS('محمد عرابي'!$D:$D,'محمد عرابي'!$C:$C,$A27,'محمد عرابي'!$F:$F,"&lt;&gt;")-SUMIFS('محمد عرابي'!$D:$D,'محمد عرابي'!$C:$C,$A27,'محمد عرابي'!$G:$G,"&lt;&gt;",'محمد عرابي'!$F:$F,""))</f>
        <v/>
      </c>
      <c r="U27" s="5" t="str">
        <f>IF($A27="","",SUMIFS('عم جمال'!$D:$D,'عم جمال'!$C:$C,$A27,'عم جمال'!$F:$F,"&lt;&gt;")-SUMIFS('عم جمال'!$D:$D,'عم جمال'!$C:$C,$A27,'عم جمال'!$G:$G,"&lt;&gt;",'عم جمال'!$F:$F,""))</f>
        <v/>
      </c>
      <c r="V27" s="5" t="str">
        <f>IF($A27="","",SUMIFS('فاير سيليكت'!$D:$D,'فاير سيليكت'!$C:$C,$A27,'فاير سيليكت'!$F:$F,"&lt;&gt;")-SUMIFS('فاير سيليكت'!$D:$D,'فاير سيليكت'!$C:$C,$A27,'فاير سيليكت'!$G:$G,"&lt;&gt;",'فاير سيليكت'!$F:$F,""))</f>
        <v/>
      </c>
      <c r="W27" s="5" t="str">
        <f>IF($A27="","",SUMIFS(فرانكو!$D:$D,فرانكو!$C:$C,$A27,فرانكو!$F:$F,"&lt;&gt;")-SUMIFS(فرانكو!$D:$D,فرانكو!$C:$C,$A27,فرانكو!$G:$G,"&lt;&gt;",فرانكو!$F:$F,""))</f>
        <v/>
      </c>
      <c r="X27" s="5" t="str">
        <f>IF($A27="","",SUMIFS('كريم بكر'!$D:$D,'كريم بكر'!$C:$C,$A27,'كريم بكر'!$F:$F,"&lt;&gt;")-SUMIFS('كريم بكر'!$D:$D,'كريم بكر'!$C:$C,$A27,'كريم بكر'!$G:$G,"&lt;&gt;",'كريم بكر'!$F:$F,""))</f>
        <v/>
      </c>
      <c r="Y27" s="5" t="str">
        <f>IF($A27="","",SUMIFS(بفرا!$D:$D,بفرا!$C:$C,$A27,بفرا!$F:$F,"&lt;&gt;")-SUMIFS(بفرا!$D:$D,بفرا!$C:$C,$A27,بفرا!$G:$G,"&lt;&gt;",بفرا!$F:$F,""))</f>
        <v/>
      </c>
      <c r="Z27" s="5" t="str">
        <f>IF($A27="","",SUMIFS('محل كوم النور'!$D:$D,'محل كوم النور'!$C:$C,$A27,'محل كوم النور'!$F:$F,"&lt;&gt;")-SUMIFS('محل كوم النور'!$D:$D,'محل كوم النور'!$C:$C,$A27,'محل كوم النور'!$G:$G,"&lt;&gt;",'محل كوم النور'!$F:$F,""))</f>
        <v/>
      </c>
      <c r="AA27" s="5" t="str">
        <f>IF($A27="","",SUMIFS('محمد النجار'!$D:$D,'محمد النجار'!$C:$C,$A27,'محمد النجار'!$F:$F,"&lt;&gt;")-SUMIFS('محمد النجار'!$D:$D,'محمد النجار'!$C:$C,$A27,'محمد النجار'!$G:$G,"&lt;&gt;",'محمد النجار'!$F:$F,""))</f>
        <v/>
      </c>
      <c r="AB27" s="5" t="str">
        <f>IF($A27="","",SUMIFS('محمود عبدالرسول'!$D:$D,'محمود عبدالرسول'!$C:$C,$A27,'محمود عبدالرسول'!$F:$F,"&lt;&gt;")-SUMIFS('محمود عبدالرسول'!$D:$D,'محمود عبدالرسول'!$C:$C,$A27,'محمود عبدالرسول'!$G:$G,"&lt;&gt;",'محمود عبدالرسول'!$F:$F,""))</f>
        <v/>
      </c>
      <c r="AC27" s="5" t="str">
        <f>IF($A27="","",SUMIFS('مول المصطفي'!$D:$D,'مول المصطفي'!$C:$C,$A27,'مول المصطفي'!$F:$F,"&lt;&gt;")-SUMIFS('مول المصطفي'!$D:$D,'مول المصطفي'!$C:$C,$A27,'مول المصطفي'!$G:$G,"&lt;&gt;",'مول المصطفي'!$F:$F,""))</f>
        <v/>
      </c>
      <c r="AD27" s="5" t="str">
        <f>IF($A27="","",SUMIFS(مصانع!$D:$D,مصانع!$C:$C,$A27,مصانع!$F:$F,"&lt;&gt;")-SUMIFS(مصانع!$D:$D,مصانع!$C:$C,$A27,مصانع!$G:$G,"&lt;&gt;",مصانع!$F:$F,""))</f>
        <v/>
      </c>
      <c r="AE27" s="6" t="str">
        <f t="shared" si="7"/>
        <v/>
      </c>
      <c r="AF27" s="7"/>
      <c r="AG27" s="8"/>
      <c r="AH27" s="9" t="str">
        <f t="shared" si="5"/>
        <v/>
      </c>
      <c r="AI27" s="8"/>
      <c r="AJ27" s="6" t="str">
        <f t="shared" si="4"/>
        <v/>
      </c>
    </row>
    <row r="28" spans="1:36">
      <c r="A28" s="4"/>
      <c r="B28" s="5" t="str">
        <f>IF($A28="","",SUMIFS('4K حموده'!$D:$D,'4K حموده'!$C:$C,$A28,'4K حموده'!$F:$F,"&lt;&gt;")-SUMIFS('4K حموده'!$D:$D,'4K حموده'!$C:$C,$A28,'4K حموده'!$G:$G,"&lt;&gt;",'4K حموده'!$F:$F,""))</f>
        <v/>
      </c>
      <c r="C28" s="5" t="str">
        <f>IF($A28="","",SUMIFS('مكتب القاضي'!$D:$D,'مكتب القاضي'!$C:$C,$A28,'مكتب القاضي'!$F:$F,"&lt;&gt;")-SUMIFS('مكتب القاضي'!$D:$D,'مكتب القاضي'!$C:$C,$A28,'مكتب القاضي'!$G:$G,"&lt;&gt;",'مكتب القاضي'!$F:$F,""))</f>
        <v/>
      </c>
      <c r="D28" s="5" t="str">
        <f>IF($A28="","",SUMIFS(الاتشو!$D:$D,الاتشو!$C:$C,$A28,الاتشو!$F:$F,"&lt;&gt;")-SUMIFS(الاتشو!$D:$D,الاتشو!$C:$C,$A28,الاتشو!$G:$G,"&lt;&gt;",الاتشو!$F:$F,""))</f>
        <v/>
      </c>
      <c r="E28" s="5" t="str">
        <f>IF($A28="","",SUMIFS('علاء بوم ارض النت'!$D:$D,'علاء بوم ارض النت'!$C:$C,$A28,'علاء بوم ارض النت'!$F:$F,"&lt;&gt;")-SUMIFS('علاء بوم ارض النت'!$D:$D,'علاء بوم ارض النت'!$C:$C,$A28,'علاء بوم ارض النت'!$G:$G,"&lt;&gt;",'علاء بوم ارض النت'!$F:$F,""))</f>
        <v/>
      </c>
      <c r="F28" s="5" t="str">
        <f>IF($A28="","",SUMIFS('كيمو ميت ابو خالد'!$D:$D,'كيمو ميت ابو خالد'!$C:$C,$A28,'كيمو ميت ابو خالد'!$F:$F,"&lt;&gt;")-SUMIFS('كيمو ميت ابو خالد'!$D:$D,'كيمو ميت ابو خالد'!$C:$C,$A28,'كيمو ميت ابو خالد'!$G:$G,"&lt;&gt;",'كيمو ميت ابو خالد'!$F:$F,""))</f>
        <v/>
      </c>
      <c r="G28" s="5" t="str">
        <f>IF($A28="","",SUMIFS(KAZO!$D:$D,KAZO!$C:$C,$A28,KAZO!$F:$F,"&lt;&gt;")-SUMIFS(KAZO!$D:$D,KAZO!$C:$C,$A28,KAZO!$G:$G,"&lt;&gt;",KAZO!$F:$F,""))</f>
        <v/>
      </c>
      <c r="H28" s="5" t="str">
        <f>IF($A28="","",SUMIFS(LAFY!$D:$D,LAFY!$C:$C,$A28,LAFY!$F:$F,"&lt;&gt;")-SUMIFS(LAFY!$D:$D,LAFY!$C:$C,$A28,LAFY!$G:$G,"&lt;&gt;",LAFY!$F:$F,""))</f>
        <v/>
      </c>
      <c r="I28" s="5" t="str">
        <f>IF($A28="","",SUMIFS('POINT زفتي (جديد)'!$D:$D,'POINT زفتي (جديد)'!$C:$C,$A28,'POINT زفتي (جديد)'!$F:$F,"&lt;&gt;")-SUMIFS('POINT زفتي (جديد)'!$D:$D,'POINT زفتي (جديد)'!$C:$C,$A28,'POINT زفتي (جديد)'!$G:$G,"&lt;&gt;",'POINT زفتي (جديد)'!$F:$F,""))</f>
        <v/>
      </c>
      <c r="J28" s="5" t="str">
        <f>IF($A28="","",SUMIFS('POINT سعد زغلول (قديم)'!$D:$D,'POINT سعد زغلول (قديم)'!$C:$C,$A28,'POINT سعد زغلول (قديم)'!$F:$F,"&lt;&gt;")-SUMIFS('POINT سعد زغلول (قديم)'!$D:$D,'POINT سعد زغلول (قديم)'!$C:$C,$A28,'POINT سعد زغلول (قديم)'!$G:$G,"&lt;&gt;",'POINT سعد زغلول (قديم)'!$F:$F,""))</f>
        <v/>
      </c>
      <c r="K28" s="5" t="str">
        <f>IF($A28="","",SUMIFS('POWER ارض النت'!$D:$D,'POWER ارض النت'!$C:$C,$A28,'POWER ارض النت'!$F:$F,"&lt;&gt;")-SUMIFS('POWER ارض النت'!$D:$D,'POWER ارض النت'!$C:$C,$A28,'POWER ارض النت'!$G:$G,"&lt;&gt;",'POWER ارض النت'!$F:$F,""))</f>
        <v/>
      </c>
      <c r="L28" s="5" t="str">
        <f>IF($A28="","",SUMIFS('POWER زفتي'!$D:$D,'POWER زفتي'!$C:$C,$A28,'POWER زفتي'!$F:$F,"&lt;&gt;")-SUMIFS('POWER زفتي'!$D:$D,'POWER زفتي'!$C:$C,$A28,'POWER زفتي'!$G:$G,"&lt;&gt;",'POWER زفتي'!$F:$F,""))</f>
        <v/>
      </c>
      <c r="M28" s="5" t="str">
        <f>IF($A28="","",SUMIFS('احمد المنوفي'!$D:$D,'احمد المنوفي'!$C:$C,$A28,'احمد المنوفي'!$F:$F,"&lt;&gt;")-SUMIFS('احمد المنوفي'!$D:$D,'احمد المنوفي'!$C:$C,$A28,'احمد المنوفي'!$G:$G,"&lt;&gt;",'احمد المنوفي'!$F:$F,""))</f>
        <v/>
      </c>
      <c r="N28" s="5" t="str">
        <f>IF($A28="","",SUMIFS(السفير!$D:$D,السفير!$C:$C,$A28,السفير!$F:$F,"&lt;&gt;")-SUMIFS(السفير!$D:$D,السفير!$C:$C,$A28,السفير!$G:$G,"&lt;&gt;",السفير!$F:$F,""))</f>
        <v/>
      </c>
      <c r="O28" s="5" t="str">
        <f>IF($A28="","",SUMIFS(العالمي!$D:$D,العالمي!$C:$C,$A28,العالمي!$F:$F,"&lt;&gt;")-SUMIFS(العالمي!$D:$D,العالمي!$C:$C,$A28,العالمي!$G:$G,"&lt;&gt;",العالمي!$F:$F,""))</f>
        <v/>
      </c>
      <c r="P28" s="5" t="str">
        <f>IF($A28="","",SUMIFS('باهي التركي'!$D:$D,'باهي التركي'!$C:$C,$A28,'باهي التركي'!$F:$F,"&lt;&gt;")-SUMIFS('باهي التركي'!$D:$D,'باهي التركي'!$C:$C,$A28,'باهي التركي'!$G:$G,"&lt;&gt;",'باهي التركي'!$F:$F,""))</f>
        <v/>
      </c>
      <c r="Q28" s="5" t="str">
        <f>IF($A28="","",SUMIFS('توتي دماص'!$D:$D,'توتي دماص'!$C:$C,$A28,'توتي دماص'!$F:$F,"&lt;&gt;")-SUMIFS('توتي دماص'!$D:$D,'توتي دماص'!$C:$C,$A28,'توتي دماص'!$G:$G,"&lt;&gt;",'توتي دماص'!$F:$F,""))</f>
        <v/>
      </c>
      <c r="R28" s="5" t="str">
        <f>IF($A28="","",SUMIFS('رضا محمد'!$D:$D,'رضا محمد'!$C:$C,$A28,'رضا محمد'!$F:$F,"&lt;&gt;")-SUMIFS('رضا محمد'!$D:$D,'رضا محمد'!$C:$C,$A28,'رضا محمد'!$G:$G,"&lt;&gt;",'رضا محمد'!$F:$F,""))</f>
        <v/>
      </c>
      <c r="S28" s="5" t="str">
        <f>IF($A28="","",SUMIFS('زومبي العشري'!$D:$D,'زومبي العشري'!$C:$C,$A28,'زومبي العشري'!$F:$F,"&lt;&gt;")-SUMIFS('زومبي العشري'!$D:$D,'زومبي العشري'!$C:$C,$A28,'زومبي العشري'!$G:$G,"&lt;&gt;",'زومبي العشري'!$F:$F,""))</f>
        <v/>
      </c>
      <c r="T28" s="5" t="str">
        <f>IF($A28="","",SUMIFS('محمد عرابي'!$D:$D,'محمد عرابي'!$C:$C,$A28,'محمد عرابي'!$F:$F,"&lt;&gt;")-SUMIFS('محمد عرابي'!$D:$D,'محمد عرابي'!$C:$C,$A28,'محمد عرابي'!$G:$G,"&lt;&gt;",'محمد عرابي'!$F:$F,""))</f>
        <v/>
      </c>
      <c r="U28" s="5" t="str">
        <f>IF($A28="","",SUMIFS('عم جمال'!$D:$D,'عم جمال'!$C:$C,$A28,'عم جمال'!$F:$F,"&lt;&gt;")-SUMIFS('عم جمال'!$D:$D,'عم جمال'!$C:$C,$A28,'عم جمال'!$G:$G,"&lt;&gt;",'عم جمال'!$F:$F,""))</f>
        <v/>
      </c>
      <c r="V28" s="5" t="str">
        <f>IF($A28="","",SUMIFS('فاير سيليكت'!$D:$D,'فاير سيليكت'!$C:$C,$A28,'فاير سيليكت'!$F:$F,"&lt;&gt;")-SUMIFS('فاير سيليكت'!$D:$D,'فاير سيليكت'!$C:$C,$A28,'فاير سيليكت'!$G:$G,"&lt;&gt;",'فاير سيليكت'!$F:$F,""))</f>
        <v/>
      </c>
      <c r="W28" s="5" t="str">
        <f>IF($A28="","",SUMIFS(فرانكو!$D:$D,فرانكو!$C:$C,$A28,فرانكو!$F:$F,"&lt;&gt;")-SUMIFS(فرانكو!$D:$D,فرانكو!$C:$C,$A28,فرانكو!$G:$G,"&lt;&gt;",فرانكو!$F:$F,""))</f>
        <v/>
      </c>
      <c r="X28" s="5" t="str">
        <f>IF($A28="","",SUMIFS('كريم بكر'!$D:$D,'كريم بكر'!$C:$C,$A28,'كريم بكر'!$F:$F,"&lt;&gt;")-SUMIFS('كريم بكر'!$D:$D,'كريم بكر'!$C:$C,$A28,'كريم بكر'!$G:$G,"&lt;&gt;",'كريم بكر'!$F:$F,""))</f>
        <v/>
      </c>
      <c r="Y28" s="5" t="str">
        <f>IF($A28="","",SUMIFS(بفرا!$D:$D,بفرا!$C:$C,$A28,بفرا!$F:$F,"&lt;&gt;")-SUMIFS(بفرا!$D:$D,بفرا!$C:$C,$A28,بفرا!$G:$G,"&lt;&gt;",بفرا!$F:$F,""))</f>
        <v/>
      </c>
      <c r="Z28" s="5" t="str">
        <f>IF($A28="","",SUMIFS('محل كوم النور'!$D:$D,'محل كوم النور'!$C:$C,$A28,'محل كوم النور'!$F:$F,"&lt;&gt;")-SUMIFS('محل كوم النور'!$D:$D,'محل كوم النور'!$C:$C,$A28,'محل كوم النور'!$G:$G,"&lt;&gt;",'محل كوم النور'!$F:$F,""))</f>
        <v/>
      </c>
      <c r="AA28" s="5" t="str">
        <f>IF($A28="","",SUMIFS('محمد النجار'!$D:$D,'محمد النجار'!$C:$C,$A28,'محمد النجار'!$F:$F,"&lt;&gt;")-SUMIFS('محمد النجار'!$D:$D,'محمد النجار'!$C:$C,$A28,'محمد النجار'!$G:$G,"&lt;&gt;",'محمد النجار'!$F:$F,""))</f>
        <v/>
      </c>
      <c r="AB28" s="5" t="str">
        <f>IF($A28="","",SUMIFS('محمود عبدالرسول'!$D:$D,'محمود عبدالرسول'!$C:$C,$A28,'محمود عبدالرسول'!$F:$F,"&lt;&gt;")-SUMIFS('محمود عبدالرسول'!$D:$D,'محمود عبدالرسول'!$C:$C,$A28,'محمود عبدالرسول'!$G:$G,"&lt;&gt;",'محمود عبدالرسول'!$F:$F,""))</f>
        <v/>
      </c>
      <c r="AC28" s="5" t="str">
        <f>IF($A28="","",SUMIFS('مول المصطفي'!$D:$D,'مول المصطفي'!$C:$C,$A28,'مول المصطفي'!$F:$F,"&lt;&gt;")-SUMIFS('مول المصطفي'!$D:$D,'مول المصطفي'!$C:$C,$A28,'مول المصطفي'!$G:$G,"&lt;&gt;",'مول المصطفي'!$F:$F,""))</f>
        <v/>
      </c>
      <c r="AD28" s="5" t="str">
        <f>IF($A28="","",SUMIFS(مصانع!$D:$D,مصانع!$C:$C,$A28,مصانع!$F:$F,"&lt;&gt;")-SUMIFS(مصانع!$D:$D,مصانع!$C:$C,$A28,مصانع!$G:$G,"&lt;&gt;",مصانع!$F:$F,""))</f>
        <v/>
      </c>
      <c r="AE28" s="6" t="str">
        <f t="shared" si="7"/>
        <v/>
      </c>
      <c r="AF28" s="7"/>
      <c r="AG28" s="8"/>
      <c r="AH28" s="9" t="str">
        <f t="shared" si="5"/>
        <v/>
      </c>
      <c r="AI28" s="8"/>
      <c r="AJ28" s="6" t="str">
        <f t="shared" si="4"/>
        <v/>
      </c>
    </row>
    <row r="29" spans="1:36">
      <c r="A29" s="4"/>
      <c r="B29" s="5" t="str">
        <f>IF($A29="","",SUMIFS('4K حموده'!$D:$D,'4K حموده'!$C:$C,$A29,'4K حموده'!$F:$F,"&lt;&gt;")-SUMIFS('4K حموده'!$D:$D,'4K حموده'!$C:$C,$A29,'4K حموده'!$G:$G,"&lt;&gt;",'4K حموده'!$F:$F,""))</f>
        <v/>
      </c>
      <c r="C29" s="5" t="str">
        <f>IF($A29="","",SUMIFS('مكتب القاضي'!$D:$D,'مكتب القاضي'!$C:$C,$A29,'مكتب القاضي'!$F:$F,"&lt;&gt;")-SUMIFS('مكتب القاضي'!$D:$D,'مكتب القاضي'!$C:$C,$A29,'مكتب القاضي'!$G:$G,"&lt;&gt;",'مكتب القاضي'!$F:$F,""))</f>
        <v/>
      </c>
      <c r="D29" s="5" t="str">
        <f>IF($A29="","",SUMIFS(الاتشو!$D:$D,الاتشو!$C:$C,$A29,الاتشو!$F:$F,"&lt;&gt;")-SUMIFS(الاتشو!$D:$D,الاتشو!$C:$C,$A29,الاتشو!$G:$G,"&lt;&gt;",الاتشو!$F:$F,""))</f>
        <v/>
      </c>
      <c r="E29" s="5" t="str">
        <f>IF($A29="","",SUMIFS('علاء بوم ارض النت'!$D:$D,'علاء بوم ارض النت'!$C:$C,$A29,'علاء بوم ارض النت'!$F:$F,"&lt;&gt;")-SUMIFS('علاء بوم ارض النت'!$D:$D,'علاء بوم ارض النت'!$C:$C,$A29,'علاء بوم ارض النت'!$G:$G,"&lt;&gt;",'علاء بوم ارض النت'!$F:$F,""))</f>
        <v/>
      </c>
      <c r="F29" s="5" t="str">
        <f>IF($A29="","",SUMIFS('كيمو ميت ابو خالد'!$D:$D,'كيمو ميت ابو خالد'!$C:$C,$A29,'كيمو ميت ابو خالد'!$F:$F,"&lt;&gt;")-SUMIFS('كيمو ميت ابو خالد'!$D:$D,'كيمو ميت ابو خالد'!$C:$C,$A29,'كيمو ميت ابو خالد'!$G:$G,"&lt;&gt;",'كيمو ميت ابو خالد'!$F:$F,""))</f>
        <v/>
      </c>
      <c r="G29" s="5" t="str">
        <f>IF($A29="","",SUMIFS(KAZO!$D:$D,KAZO!$C:$C,$A29,KAZO!$F:$F,"&lt;&gt;")-SUMIFS(KAZO!$D:$D,KAZO!$C:$C,$A29,KAZO!$G:$G,"&lt;&gt;",KAZO!$F:$F,""))</f>
        <v/>
      </c>
      <c r="H29" s="5" t="str">
        <f>IF($A29="","",SUMIFS(LAFY!$D:$D,LAFY!$C:$C,$A29,LAFY!$F:$F,"&lt;&gt;")-SUMIFS(LAFY!$D:$D,LAFY!$C:$C,$A29,LAFY!$G:$G,"&lt;&gt;",LAFY!$F:$F,""))</f>
        <v/>
      </c>
      <c r="I29" s="5" t="str">
        <f>IF($A29="","",SUMIFS('POINT زفتي (جديد)'!$D:$D,'POINT زفتي (جديد)'!$C:$C,$A29,'POINT زفتي (جديد)'!$F:$F,"&lt;&gt;")-SUMIFS('POINT زفتي (جديد)'!$D:$D,'POINT زفتي (جديد)'!$C:$C,$A29,'POINT زفتي (جديد)'!$G:$G,"&lt;&gt;",'POINT زفتي (جديد)'!$F:$F,""))</f>
        <v/>
      </c>
      <c r="J29" s="5" t="str">
        <f>IF($A29="","",SUMIFS('POINT سعد زغلول (قديم)'!$D:$D,'POINT سعد زغلول (قديم)'!$C:$C,$A29,'POINT سعد زغلول (قديم)'!$F:$F,"&lt;&gt;")-SUMIFS('POINT سعد زغلول (قديم)'!$D:$D,'POINT سعد زغلول (قديم)'!$C:$C,$A29,'POINT سعد زغلول (قديم)'!$G:$G,"&lt;&gt;",'POINT سعد زغلول (قديم)'!$F:$F,""))</f>
        <v/>
      </c>
      <c r="K29" s="5" t="str">
        <f>IF($A29="","",SUMIFS('POWER ارض النت'!$D:$D,'POWER ارض النت'!$C:$C,$A29,'POWER ارض النت'!$F:$F,"&lt;&gt;")-SUMIFS('POWER ارض النت'!$D:$D,'POWER ارض النت'!$C:$C,$A29,'POWER ارض النت'!$G:$G,"&lt;&gt;",'POWER ارض النت'!$F:$F,""))</f>
        <v/>
      </c>
      <c r="L29" s="5" t="str">
        <f>IF($A29="","",SUMIFS('POWER زفتي'!$D:$D,'POWER زفتي'!$C:$C,$A29,'POWER زفتي'!$F:$F,"&lt;&gt;")-SUMIFS('POWER زفتي'!$D:$D,'POWER زفتي'!$C:$C,$A29,'POWER زفتي'!$G:$G,"&lt;&gt;",'POWER زفتي'!$F:$F,""))</f>
        <v/>
      </c>
      <c r="M29" s="5" t="str">
        <f>IF($A29="","",SUMIFS('احمد المنوفي'!$D:$D,'احمد المنوفي'!$C:$C,$A29,'احمد المنوفي'!$F:$F,"&lt;&gt;")-SUMIFS('احمد المنوفي'!$D:$D,'احمد المنوفي'!$C:$C,$A29,'احمد المنوفي'!$G:$G,"&lt;&gt;",'احمد المنوفي'!$F:$F,""))</f>
        <v/>
      </c>
      <c r="N29" s="5" t="str">
        <f>IF($A29="","",SUMIFS(السفير!$D:$D,السفير!$C:$C,$A29,السفير!$F:$F,"&lt;&gt;")-SUMIFS(السفير!$D:$D,السفير!$C:$C,$A29,السفير!$G:$G,"&lt;&gt;",السفير!$F:$F,""))</f>
        <v/>
      </c>
      <c r="O29" s="5" t="str">
        <f>IF($A29="","",SUMIFS(العالمي!$D:$D,العالمي!$C:$C,$A29,العالمي!$F:$F,"&lt;&gt;")-SUMIFS(العالمي!$D:$D,العالمي!$C:$C,$A29,العالمي!$G:$G,"&lt;&gt;",العالمي!$F:$F,""))</f>
        <v/>
      </c>
      <c r="P29" s="5" t="str">
        <f>IF($A29="","",SUMIFS('باهي التركي'!$D:$D,'باهي التركي'!$C:$C,$A29,'باهي التركي'!$F:$F,"&lt;&gt;")-SUMIFS('باهي التركي'!$D:$D,'باهي التركي'!$C:$C,$A29,'باهي التركي'!$G:$G,"&lt;&gt;",'باهي التركي'!$F:$F,""))</f>
        <v/>
      </c>
      <c r="Q29" s="5" t="str">
        <f>IF($A29="","",SUMIFS('توتي دماص'!$D:$D,'توتي دماص'!$C:$C,$A29,'توتي دماص'!$F:$F,"&lt;&gt;")-SUMIFS('توتي دماص'!$D:$D,'توتي دماص'!$C:$C,$A29,'توتي دماص'!$G:$G,"&lt;&gt;",'توتي دماص'!$F:$F,""))</f>
        <v/>
      </c>
      <c r="R29" s="5" t="str">
        <f>IF($A29="","",SUMIFS('رضا محمد'!$D:$D,'رضا محمد'!$C:$C,$A29,'رضا محمد'!$F:$F,"&lt;&gt;")-SUMIFS('رضا محمد'!$D:$D,'رضا محمد'!$C:$C,$A29,'رضا محمد'!$G:$G,"&lt;&gt;",'رضا محمد'!$F:$F,""))</f>
        <v/>
      </c>
      <c r="S29" s="5" t="str">
        <f>IF($A29="","",SUMIFS('زومبي العشري'!$D:$D,'زومبي العشري'!$C:$C,$A29,'زومبي العشري'!$F:$F,"&lt;&gt;")-SUMIFS('زومبي العشري'!$D:$D,'زومبي العشري'!$C:$C,$A29,'زومبي العشري'!$G:$G,"&lt;&gt;",'زومبي العشري'!$F:$F,""))</f>
        <v/>
      </c>
      <c r="T29" s="5" t="str">
        <f>IF($A29="","",SUMIFS('محمد عرابي'!$D:$D,'محمد عرابي'!$C:$C,$A29,'محمد عرابي'!$F:$F,"&lt;&gt;")-SUMIFS('محمد عرابي'!$D:$D,'محمد عرابي'!$C:$C,$A29,'محمد عرابي'!$G:$G,"&lt;&gt;",'محمد عرابي'!$F:$F,""))</f>
        <v/>
      </c>
      <c r="U29" s="5" t="str">
        <f>IF($A29="","",SUMIFS('عم جمال'!$D:$D,'عم جمال'!$C:$C,$A29,'عم جمال'!$F:$F,"&lt;&gt;")-SUMIFS('عم جمال'!$D:$D,'عم جمال'!$C:$C,$A29,'عم جمال'!$G:$G,"&lt;&gt;",'عم جمال'!$F:$F,""))</f>
        <v/>
      </c>
      <c r="V29" s="5" t="str">
        <f>IF($A29="","",SUMIFS('فاير سيليكت'!$D:$D,'فاير سيليكت'!$C:$C,$A29,'فاير سيليكت'!$F:$F,"&lt;&gt;")-SUMIFS('فاير سيليكت'!$D:$D,'فاير سيليكت'!$C:$C,$A29,'فاير سيليكت'!$G:$G,"&lt;&gt;",'فاير سيليكت'!$F:$F,""))</f>
        <v/>
      </c>
      <c r="W29" s="5" t="str">
        <f>IF($A29="","",SUMIFS(فرانكو!$D:$D,فرانكو!$C:$C,$A29,فرانكو!$F:$F,"&lt;&gt;")-SUMIFS(فرانكو!$D:$D,فرانكو!$C:$C,$A29,فرانكو!$G:$G,"&lt;&gt;",فرانكو!$F:$F,""))</f>
        <v/>
      </c>
      <c r="X29" s="5" t="str">
        <f>IF($A29="","",SUMIFS('كريم بكر'!$D:$D,'كريم بكر'!$C:$C,$A29,'كريم بكر'!$F:$F,"&lt;&gt;")-SUMIFS('كريم بكر'!$D:$D,'كريم بكر'!$C:$C,$A29,'كريم بكر'!$G:$G,"&lt;&gt;",'كريم بكر'!$F:$F,""))</f>
        <v/>
      </c>
      <c r="Y29" s="5" t="str">
        <f>IF($A29="","",SUMIFS(بفرا!$D:$D,بفرا!$C:$C,$A29,بفرا!$F:$F,"&lt;&gt;")-SUMIFS(بفرا!$D:$D,بفرا!$C:$C,$A29,بفرا!$G:$G,"&lt;&gt;",بفرا!$F:$F,""))</f>
        <v/>
      </c>
      <c r="Z29" s="5" t="str">
        <f>IF($A29="","",SUMIFS('محل كوم النور'!$D:$D,'محل كوم النور'!$C:$C,$A29,'محل كوم النور'!$F:$F,"&lt;&gt;")-SUMIFS('محل كوم النور'!$D:$D,'محل كوم النور'!$C:$C,$A29,'محل كوم النور'!$G:$G,"&lt;&gt;",'محل كوم النور'!$F:$F,""))</f>
        <v/>
      </c>
      <c r="AA29" s="5" t="str">
        <f>IF($A29="","",SUMIFS('محمد النجار'!$D:$D,'محمد النجار'!$C:$C,$A29,'محمد النجار'!$F:$F,"&lt;&gt;")-SUMIFS('محمد النجار'!$D:$D,'محمد النجار'!$C:$C,$A29,'محمد النجار'!$G:$G,"&lt;&gt;",'محمد النجار'!$F:$F,""))</f>
        <v/>
      </c>
      <c r="AB29" s="5" t="str">
        <f>IF($A29="","",SUMIFS('محمود عبدالرسول'!$D:$D,'محمود عبدالرسول'!$C:$C,$A29,'محمود عبدالرسول'!$F:$F,"&lt;&gt;")-SUMIFS('محمود عبدالرسول'!$D:$D,'محمود عبدالرسول'!$C:$C,$A29,'محمود عبدالرسول'!$G:$G,"&lt;&gt;",'محمود عبدالرسول'!$F:$F,""))</f>
        <v/>
      </c>
      <c r="AC29" s="5" t="str">
        <f>IF($A29="","",SUMIFS('مول المصطفي'!$D:$D,'مول المصطفي'!$C:$C,$A29,'مول المصطفي'!$F:$F,"&lt;&gt;")-SUMIFS('مول المصطفي'!$D:$D,'مول المصطفي'!$C:$C,$A29,'مول المصطفي'!$G:$G,"&lt;&gt;",'مول المصطفي'!$F:$F,""))</f>
        <v/>
      </c>
      <c r="AD29" s="5" t="str">
        <f>IF($A29="","",SUMIFS(مصانع!$D:$D,مصانع!$C:$C,$A29,مصانع!$F:$F,"&lt;&gt;")-SUMIFS(مصانع!$D:$D,مصانع!$C:$C,$A29,مصانع!$G:$G,"&lt;&gt;",مصانع!$F:$F,""))</f>
        <v/>
      </c>
      <c r="AE29" s="6" t="str">
        <f t="shared" si="7"/>
        <v/>
      </c>
      <c r="AF29" s="7"/>
      <c r="AG29" s="8"/>
      <c r="AH29" s="9" t="str">
        <f t="shared" si="5"/>
        <v/>
      </c>
      <c r="AI29" s="8"/>
      <c r="AJ29" s="6" t="str">
        <f t="shared" si="4"/>
        <v/>
      </c>
    </row>
    <row r="30" spans="1:36">
      <c r="A30" s="4"/>
      <c r="B30" s="5" t="str">
        <f>IF($A30="","",SUMIFS('4K حموده'!$D:$D,'4K حموده'!$C:$C,$A30,'4K حموده'!$F:$F,"&lt;&gt;")-SUMIFS('4K حموده'!$D:$D,'4K حموده'!$C:$C,$A30,'4K حموده'!$G:$G,"&lt;&gt;",'4K حموده'!$F:$F,""))</f>
        <v/>
      </c>
      <c r="C30" s="5" t="str">
        <f>IF($A30="","",SUMIFS('مكتب القاضي'!$D:$D,'مكتب القاضي'!$C:$C,$A30,'مكتب القاضي'!$F:$F,"&lt;&gt;")-SUMIFS('مكتب القاضي'!$D:$D,'مكتب القاضي'!$C:$C,$A30,'مكتب القاضي'!$G:$G,"&lt;&gt;",'مكتب القاضي'!$F:$F,""))</f>
        <v/>
      </c>
      <c r="D30" s="5" t="str">
        <f>IF($A30="","",SUMIFS(الاتشو!$D:$D,الاتشو!$C:$C,$A30,الاتشو!$F:$F,"&lt;&gt;")-SUMIFS(الاتشو!$D:$D,الاتشو!$C:$C,$A30,الاتشو!$G:$G,"&lt;&gt;",الاتشو!$F:$F,""))</f>
        <v/>
      </c>
      <c r="E30" s="5" t="str">
        <f>IF($A30="","",SUMIFS('علاء بوم ارض النت'!$D:$D,'علاء بوم ارض النت'!$C:$C,$A30,'علاء بوم ارض النت'!$F:$F,"&lt;&gt;")-SUMIFS('علاء بوم ارض النت'!$D:$D,'علاء بوم ارض النت'!$C:$C,$A30,'علاء بوم ارض النت'!$G:$G,"&lt;&gt;",'علاء بوم ارض النت'!$F:$F,""))</f>
        <v/>
      </c>
      <c r="F30" s="5" t="str">
        <f>IF($A30="","",SUMIFS('كيمو ميت ابو خالد'!$D:$D,'كيمو ميت ابو خالد'!$C:$C,$A30,'كيمو ميت ابو خالد'!$F:$F,"&lt;&gt;")-SUMIFS('كيمو ميت ابو خالد'!$D:$D,'كيمو ميت ابو خالد'!$C:$C,$A30,'كيمو ميت ابو خالد'!$G:$G,"&lt;&gt;",'كيمو ميت ابو خالد'!$F:$F,""))</f>
        <v/>
      </c>
      <c r="G30" s="5" t="str">
        <f>IF($A30="","",SUMIFS(KAZO!$D:$D,KAZO!$C:$C,$A30,KAZO!$F:$F,"&lt;&gt;")-SUMIFS(KAZO!$D:$D,KAZO!$C:$C,$A30,KAZO!$G:$G,"&lt;&gt;",KAZO!$F:$F,""))</f>
        <v/>
      </c>
      <c r="H30" s="5" t="str">
        <f>IF($A30="","",SUMIFS(LAFY!$D:$D,LAFY!$C:$C,$A30,LAFY!$F:$F,"&lt;&gt;")-SUMIFS(LAFY!$D:$D,LAFY!$C:$C,$A30,LAFY!$G:$G,"&lt;&gt;",LAFY!$F:$F,""))</f>
        <v/>
      </c>
      <c r="I30" s="5" t="str">
        <f>IF($A30="","",SUMIFS('POINT زفتي (جديد)'!$D:$D,'POINT زفتي (جديد)'!$C:$C,$A30,'POINT زفتي (جديد)'!$F:$F,"&lt;&gt;")-SUMIFS('POINT زفتي (جديد)'!$D:$D,'POINT زفتي (جديد)'!$C:$C,$A30,'POINT زفتي (جديد)'!$G:$G,"&lt;&gt;",'POINT زفتي (جديد)'!$F:$F,""))</f>
        <v/>
      </c>
      <c r="J30" s="5" t="str">
        <f>IF($A30="","",SUMIFS('POINT سعد زغلول (قديم)'!$D:$D,'POINT سعد زغلول (قديم)'!$C:$C,$A30,'POINT سعد زغلول (قديم)'!$F:$F,"&lt;&gt;")-SUMIFS('POINT سعد زغلول (قديم)'!$D:$D,'POINT سعد زغلول (قديم)'!$C:$C,$A30,'POINT سعد زغلول (قديم)'!$G:$G,"&lt;&gt;",'POINT سعد زغلول (قديم)'!$F:$F,""))</f>
        <v/>
      </c>
      <c r="K30" s="5" t="str">
        <f>IF($A30="","",SUMIFS('POWER ارض النت'!$D:$D,'POWER ارض النت'!$C:$C,$A30,'POWER ارض النت'!$F:$F,"&lt;&gt;")-SUMIFS('POWER ارض النت'!$D:$D,'POWER ارض النت'!$C:$C,$A30,'POWER ارض النت'!$G:$G,"&lt;&gt;",'POWER ارض النت'!$F:$F,""))</f>
        <v/>
      </c>
      <c r="L30" s="5" t="str">
        <f>IF($A30="","",SUMIFS('POWER زفتي'!$D:$D,'POWER زفتي'!$C:$C,$A30,'POWER زفتي'!$F:$F,"&lt;&gt;")-SUMIFS('POWER زفتي'!$D:$D,'POWER زفتي'!$C:$C,$A30,'POWER زفتي'!$G:$G,"&lt;&gt;",'POWER زفتي'!$F:$F,""))</f>
        <v/>
      </c>
      <c r="M30" s="5" t="str">
        <f>IF($A30="","",SUMIFS('احمد المنوفي'!$D:$D,'احمد المنوفي'!$C:$C,$A30,'احمد المنوفي'!$F:$F,"&lt;&gt;")-SUMIFS('احمد المنوفي'!$D:$D,'احمد المنوفي'!$C:$C,$A30,'احمد المنوفي'!$G:$G,"&lt;&gt;",'احمد المنوفي'!$F:$F,""))</f>
        <v/>
      </c>
      <c r="N30" s="5" t="str">
        <f>IF($A30="","",SUMIFS(السفير!$D:$D,السفير!$C:$C,$A30,السفير!$F:$F,"&lt;&gt;")-SUMIFS(السفير!$D:$D,السفير!$C:$C,$A30,السفير!$G:$G,"&lt;&gt;",السفير!$F:$F,""))</f>
        <v/>
      </c>
      <c r="O30" s="5" t="str">
        <f>IF($A30="","",SUMIFS(العالمي!$D:$D,العالمي!$C:$C,$A30,العالمي!$F:$F,"&lt;&gt;")-SUMIFS(العالمي!$D:$D,العالمي!$C:$C,$A30,العالمي!$G:$G,"&lt;&gt;",العالمي!$F:$F,""))</f>
        <v/>
      </c>
      <c r="P30" s="5" t="str">
        <f>IF($A30="","",SUMIFS('باهي التركي'!$D:$D,'باهي التركي'!$C:$C,$A30,'باهي التركي'!$F:$F,"&lt;&gt;")-SUMIFS('باهي التركي'!$D:$D,'باهي التركي'!$C:$C,$A30,'باهي التركي'!$G:$G,"&lt;&gt;",'باهي التركي'!$F:$F,""))</f>
        <v/>
      </c>
      <c r="Q30" s="5" t="str">
        <f>IF($A30="","",SUMIFS('توتي دماص'!$D:$D,'توتي دماص'!$C:$C,$A30,'توتي دماص'!$F:$F,"&lt;&gt;")-SUMIFS('توتي دماص'!$D:$D,'توتي دماص'!$C:$C,$A30,'توتي دماص'!$G:$G,"&lt;&gt;",'توتي دماص'!$F:$F,""))</f>
        <v/>
      </c>
      <c r="R30" s="5" t="str">
        <f>IF($A30="","",SUMIFS('رضا محمد'!$D:$D,'رضا محمد'!$C:$C,$A30,'رضا محمد'!$F:$F,"&lt;&gt;")-SUMIFS('رضا محمد'!$D:$D,'رضا محمد'!$C:$C,$A30,'رضا محمد'!$G:$G,"&lt;&gt;",'رضا محمد'!$F:$F,""))</f>
        <v/>
      </c>
      <c r="S30" s="5" t="str">
        <f>IF($A30="","",SUMIFS('زومبي العشري'!$D:$D,'زومبي العشري'!$C:$C,$A30,'زومبي العشري'!$F:$F,"&lt;&gt;")-SUMIFS('زومبي العشري'!$D:$D,'زومبي العشري'!$C:$C,$A30,'زومبي العشري'!$G:$G,"&lt;&gt;",'زومبي العشري'!$F:$F,""))</f>
        <v/>
      </c>
      <c r="T30" s="5" t="str">
        <f>IF($A30="","",SUMIFS('محمد عرابي'!$D:$D,'محمد عرابي'!$C:$C,$A30,'محمد عرابي'!$F:$F,"&lt;&gt;")-SUMIFS('محمد عرابي'!$D:$D,'محمد عرابي'!$C:$C,$A30,'محمد عرابي'!$G:$G,"&lt;&gt;",'محمد عرابي'!$F:$F,""))</f>
        <v/>
      </c>
      <c r="U30" s="5" t="str">
        <f>IF($A30="","",SUMIFS('عم جمال'!$D:$D,'عم جمال'!$C:$C,$A30,'عم جمال'!$F:$F,"&lt;&gt;")-SUMIFS('عم جمال'!$D:$D,'عم جمال'!$C:$C,$A30,'عم جمال'!$G:$G,"&lt;&gt;",'عم جمال'!$F:$F,""))</f>
        <v/>
      </c>
      <c r="V30" s="5" t="str">
        <f>IF($A30="","",SUMIFS('فاير سيليكت'!$D:$D,'فاير سيليكت'!$C:$C,$A30,'فاير سيليكت'!$F:$F,"&lt;&gt;")-SUMIFS('فاير سيليكت'!$D:$D,'فاير سيليكت'!$C:$C,$A30,'فاير سيليكت'!$G:$G,"&lt;&gt;",'فاير سيليكت'!$F:$F,""))</f>
        <v/>
      </c>
      <c r="W30" s="5" t="str">
        <f>IF($A30="","",SUMIFS(فرانكو!$D:$D,فرانكو!$C:$C,$A30,فرانكو!$F:$F,"&lt;&gt;")-SUMIFS(فرانكو!$D:$D,فرانكو!$C:$C,$A30,فرانكو!$G:$G,"&lt;&gt;",فرانكو!$F:$F,""))</f>
        <v/>
      </c>
      <c r="X30" s="5" t="str">
        <f>IF($A30="","",SUMIFS('كريم بكر'!$D:$D,'كريم بكر'!$C:$C,$A30,'كريم بكر'!$F:$F,"&lt;&gt;")-SUMIFS('كريم بكر'!$D:$D,'كريم بكر'!$C:$C,$A30,'كريم بكر'!$G:$G,"&lt;&gt;",'كريم بكر'!$F:$F,""))</f>
        <v/>
      </c>
      <c r="Y30" s="5" t="str">
        <f>IF($A30="","",SUMIFS(بفرا!$D:$D,بفرا!$C:$C,$A30,بفرا!$F:$F,"&lt;&gt;")-SUMIFS(بفرا!$D:$D,بفرا!$C:$C,$A30,بفرا!$G:$G,"&lt;&gt;",بفرا!$F:$F,""))</f>
        <v/>
      </c>
      <c r="Z30" s="5" t="str">
        <f>IF($A30="","",SUMIFS('محل كوم النور'!$D:$D,'محل كوم النور'!$C:$C,$A30,'محل كوم النور'!$F:$F,"&lt;&gt;")-SUMIFS('محل كوم النور'!$D:$D,'محل كوم النور'!$C:$C,$A30,'محل كوم النور'!$G:$G,"&lt;&gt;",'محل كوم النور'!$F:$F,""))</f>
        <v/>
      </c>
      <c r="AA30" s="5" t="str">
        <f>IF($A30="","",SUMIFS('محمد النجار'!$D:$D,'محمد النجار'!$C:$C,$A30,'محمد النجار'!$F:$F,"&lt;&gt;")-SUMIFS('محمد النجار'!$D:$D,'محمد النجار'!$C:$C,$A30,'محمد النجار'!$G:$G,"&lt;&gt;",'محمد النجار'!$F:$F,""))</f>
        <v/>
      </c>
      <c r="AB30" s="5" t="str">
        <f>IF($A30="","",SUMIFS('محمود عبدالرسول'!$D:$D,'محمود عبدالرسول'!$C:$C,$A30,'محمود عبدالرسول'!$F:$F,"&lt;&gt;")-SUMIFS('محمود عبدالرسول'!$D:$D,'محمود عبدالرسول'!$C:$C,$A30,'محمود عبدالرسول'!$G:$G,"&lt;&gt;",'محمود عبدالرسول'!$F:$F,""))</f>
        <v/>
      </c>
      <c r="AC30" s="5" t="str">
        <f>IF($A30="","",SUMIFS('مول المصطفي'!$D:$D,'مول المصطفي'!$C:$C,$A30,'مول المصطفي'!$F:$F,"&lt;&gt;")-SUMIFS('مول المصطفي'!$D:$D,'مول المصطفي'!$C:$C,$A30,'مول المصطفي'!$G:$G,"&lt;&gt;",'مول المصطفي'!$F:$F,""))</f>
        <v/>
      </c>
      <c r="AD30" s="5" t="str">
        <f>IF($A30="","",SUMIFS(مصانع!$D:$D,مصانع!$C:$C,$A30,مصانع!$F:$F,"&lt;&gt;")-SUMIFS(مصانع!$D:$D,مصانع!$C:$C,$A30,مصانع!$G:$G,"&lt;&gt;",مصانع!$F:$F,""))</f>
        <v/>
      </c>
      <c r="AE30" s="6" t="str">
        <f t="shared" si="7"/>
        <v/>
      </c>
      <c r="AF30" s="7"/>
      <c r="AG30" s="8"/>
      <c r="AH30" s="9" t="str">
        <f t="shared" si="5"/>
        <v/>
      </c>
      <c r="AI30" s="8"/>
      <c r="AJ30" s="6" t="str">
        <f t="shared" si="4"/>
        <v/>
      </c>
    </row>
    <row r="31" spans="1:36">
      <c r="A31" s="4"/>
      <c r="B31" s="5" t="str">
        <f>IF($A31="","",SUMIFS('4K حموده'!$D:$D,'4K حموده'!$C:$C,$A31,'4K حموده'!$F:$F,"&lt;&gt;")-SUMIFS('4K حموده'!$D:$D,'4K حموده'!$C:$C,$A31,'4K حموده'!$G:$G,"&lt;&gt;",'4K حموده'!$F:$F,""))</f>
        <v/>
      </c>
      <c r="C31" s="5" t="str">
        <f>IF($A31="","",SUMIFS('مكتب القاضي'!$D:$D,'مكتب القاضي'!$C:$C,$A31,'مكتب القاضي'!$F:$F,"&lt;&gt;")-SUMIFS('مكتب القاضي'!$D:$D,'مكتب القاضي'!$C:$C,$A31,'مكتب القاضي'!$G:$G,"&lt;&gt;",'مكتب القاضي'!$F:$F,""))</f>
        <v/>
      </c>
      <c r="D31" s="5" t="str">
        <f>IF($A31="","",SUMIFS(الاتشو!$D:$D,الاتشو!$C:$C,$A31,الاتشو!$F:$F,"&lt;&gt;")-SUMIFS(الاتشو!$D:$D,الاتشو!$C:$C,$A31,الاتشو!$G:$G,"&lt;&gt;",الاتشو!$F:$F,""))</f>
        <v/>
      </c>
      <c r="E31" s="5" t="str">
        <f>IF($A31="","",SUMIFS('علاء بوم ارض النت'!$D:$D,'علاء بوم ارض النت'!$C:$C,$A31,'علاء بوم ارض النت'!$F:$F,"&lt;&gt;")-SUMIFS('علاء بوم ارض النت'!$D:$D,'علاء بوم ارض النت'!$C:$C,$A31,'علاء بوم ارض النت'!$G:$G,"&lt;&gt;",'علاء بوم ارض النت'!$F:$F,""))</f>
        <v/>
      </c>
      <c r="F31" s="5" t="str">
        <f>IF($A31="","",SUMIFS('كيمو ميت ابو خالد'!$D:$D,'كيمو ميت ابو خالد'!$C:$C,$A31,'كيمو ميت ابو خالد'!$F:$F,"&lt;&gt;")-SUMIFS('كيمو ميت ابو خالد'!$D:$D,'كيمو ميت ابو خالد'!$C:$C,$A31,'كيمو ميت ابو خالد'!$G:$G,"&lt;&gt;",'كيمو ميت ابو خالد'!$F:$F,""))</f>
        <v/>
      </c>
      <c r="G31" s="5" t="str">
        <f>IF($A31="","",SUMIFS(KAZO!$D:$D,KAZO!$C:$C,$A31,KAZO!$F:$F,"&lt;&gt;")-SUMIFS(KAZO!$D:$D,KAZO!$C:$C,$A31,KAZO!$G:$G,"&lt;&gt;",KAZO!$F:$F,""))</f>
        <v/>
      </c>
      <c r="H31" s="5" t="str">
        <f>IF($A31="","",SUMIFS(LAFY!$D:$D,LAFY!$C:$C,$A31,LAFY!$F:$F,"&lt;&gt;")-SUMIFS(LAFY!$D:$D,LAFY!$C:$C,$A31,LAFY!$G:$G,"&lt;&gt;",LAFY!$F:$F,""))</f>
        <v/>
      </c>
      <c r="I31" s="5" t="str">
        <f>IF($A31="","",SUMIFS('POINT زفتي (جديد)'!$D:$D,'POINT زفتي (جديد)'!$C:$C,$A31,'POINT زفتي (جديد)'!$F:$F,"&lt;&gt;")-SUMIFS('POINT زفتي (جديد)'!$D:$D,'POINT زفتي (جديد)'!$C:$C,$A31,'POINT زفتي (جديد)'!$G:$G,"&lt;&gt;",'POINT زفتي (جديد)'!$F:$F,""))</f>
        <v/>
      </c>
      <c r="J31" s="5" t="str">
        <f>IF($A31="","",SUMIFS('POINT سعد زغلول (قديم)'!$D:$D,'POINT سعد زغلول (قديم)'!$C:$C,$A31,'POINT سعد زغلول (قديم)'!$F:$F,"&lt;&gt;")-SUMIFS('POINT سعد زغلول (قديم)'!$D:$D,'POINT سعد زغلول (قديم)'!$C:$C,$A31,'POINT سعد زغلول (قديم)'!$G:$G,"&lt;&gt;",'POINT سعد زغلول (قديم)'!$F:$F,""))</f>
        <v/>
      </c>
      <c r="K31" s="5" t="str">
        <f>IF($A31="","",SUMIFS('POWER ارض النت'!$D:$D,'POWER ارض النت'!$C:$C,$A31,'POWER ارض النت'!$F:$F,"&lt;&gt;")-SUMIFS('POWER ارض النت'!$D:$D,'POWER ارض النت'!$C:$C,$A31,'POWER ارض النت'!$G:$G,"&lt;&gt;",'POWER ارض النت'!$F:$F,""))</f>
        <v/>
      </c>
      <c r="L31" s="5" t="str">
        <f>IF($A31="","",SUMIFS('POWER زفتي'!$D:$D,'POWER زفتي'!$C:$C,$A31,'POWER زفتي'!$F:$F,"&lt;&gt;")-SUMIFS('POWER زفتي'!$D:$D,'POWER زفتي'!$C:$C,$A31,'POWER زفتي'!$G:$G,"&lt;&gt;",'POWER زفتي'!$F:$F,""))</f>
        <v/>
      </c>
      <c r="M31" s="5" t="str">
        <f>IF($A31="","",SUMIFS('احمد المنوفي'!$D:$D,'احمد المنوفي'!$C:$C,$A31,'احمد المنوفي'!$F:$F,"&lt;&gt;")-SUMIFS('احمد المنوفي'!$D:$D,'احمد المنوفي'!$C:$C,$A31,'احمد المنوفي'!$G:$G,"&lt;&gt;",'احمد المنوفي'!$F:$F,""))</f>
        <v/>
      </c>
      <c r="N31" s="5" t="str">
        <f>IF($A31="","",SUMIFS(السفير!$D:$D,السفير!$C:$C,$A31,السفير!$F:$F,"&lt;&gt;")-SUMIFS(السفير!$D:$D,السفير!$C:$C,$A31,السفير!$G:$G,"&lt;&gt;",السفير!$F:$F,""))</f>
        <v/>
      </c>
      <c r="O31" s="5" t="str">
        <f>IF($A31="","",SUMIFS(العالمي!$D:$D,العالمي!$C:$C,$A31,العالمي!$F:$F,"&lt;&gt;")-SUMIFS(العالمي!$D:$D,العالمي!$C:$C,$A31,العالمي!$G:$G,"&lt;&gt;",العالمي!$F:$F,""))</f>
        <v/>
      </c>
      <c r="P31" s="5" t="str">
        <f>IF($A31="","",SUMIFS('باهي التركي'!$D:$D,'باهي التركي'!$C:$C,$A31,'باهي التركي'!$F:$F,"&lt;&gt;")-SUMIFS('باهي التركي'!$D:$D,'باهي التركي'!$C:$C,$A31,'باهي التركي'!$G:$G,"&lt;&gt;",'باهي التركي'!$F:$F,""))</f>
        <v/>
      </c>
      <c r="Q31" s="5" t="str">
        <f>IF($A31="","",SUMIFS('توتي دماص'!$D:$D,'توتي دماص'!$C:$C,$A31,'توتي دماص'!$F:$F,"&lt;&gt;")-SUMIFS('توتي دماص'!$D:$D,'توتي دماص'!$C:$C,$A31,'توتي دماص'!$G:$G,"&lt;&gt;",'توتي دماص'!$F:$F,""))</f>
        <v/>
      </c>
      <c r="R31" s="5" t="str">
        <f>IF($A31="","",SUMIFS('رضا محمد'!$D:$D,'رضا محمد'!$C:$C,$A31,'رضا محمد'!$F:$F,"&lt;&gt;")-SUMIFS('رضا محمد'!$D:$D,'رضا محمد'!$C:$C,$A31,'رضا محمد'!$G:$G,"&lt;&gt;",'رضا محمد'!$F:$F,""))</f>
        <v/>
      </c>
      <c r="S31" s="5" t="str">
        <f>IF($A31="","",SUMIFS('زومبي العشري'!$D:$D,'زومبي العشري'!$C:$C,$A31,'زومبي العشري'!$F:$F,"&lt;&gt;")-SUMIFS('زومبي العشري'!$D:$D,'زومبي العشري'!$C:$C,$A31,'زومبي العشري'!$G:$G,"&lt;&gt;",'زومبي العشري'!$F:$F,""))</f>
        <v/>
      </c>
      <c r="T31" s="5" t="str">
        <f>IF($A31="","",SUMIFS('محمد عرابي'!$D:$D,'محمد عرابي'!$C:$C,$A31,'محمد عرابي'!$F:$F,"&lt;&gt;")-SUMIFS('محمد عرابي'!$D:$D,'محمد عرابي'!$C:$C,$A31,'محمد عرابي'!$G:$G,"&lt;&gt;",'محمد عرابي'!$F:$F,""))</f>
        <v/>
      </c>
      <c r="U31" s="5" t="str">
        <f>IF($A31="","",SUMIFS('عم جمال'!$D:$D,'عم جمال'!$C:$C,$A31,'عم جمال'!$F:$F,"&lt;&gt;")-SUMIFS('عم جمال'!$D:$D,'عم جمال'!$C:$C,$A31,'عم جمال'!$G:$G,"&lt;&gt;",'عم جمال'!$F:$F,""))</f>
        <v/>
      </c>
      <c r="V31" s="5" t="str">
        <f>IF($A31="","",SUMIFS('فاير سيليكت'!$D:$D,'فاير سيليكت'!$C:$C,$A31,'فاير سيليكت'!$F:$F,"&lt;&gt;")-SUMIFS('فاير سيليكت'!$D:$D,'فاير سيليكت'!$C:$C,$A31,'فاير سيليكت'!$G:$G,"&lt;&gt;",'فاير سيليكت'!$F:$F,""))</f>
        <v/>
      </c>
      <c r="W31" s="5" t="str">
        <f>IF($A31="","",SUMIFS(فرانكو!$D:$D,فرانكو!$C:$C,$A31,فرانكو!$F:$F,"&lt;&gt;")-SUMIFS(فرانكو!$D:$D,فرانكو!$C:$C,$A31,فرانكو!$G:$G,"&lt;&gt;",فرانكو!$F:$F,""))</f>
        <v/>
      </c>
      <c r="X31" s="5" t="str">
        <f>IF($A31="","",SUMIFS('كريم بكر'!$D:$D,'كريم بكر'!$C:$C,$A31,'كريم بكر'!$F:$F,"&lt;&gt;")-SUMIFS('كريم بكر'!$D:$D,'كريم بكر'!$C:$C,$A31,'كريم بكر'!$G:$G,"&lt;&gt;",'كريم بكر'!$F:$F,""))</f>
        <v/>
      </c>
      <c r="Y31" s="5" t="str">
        <f>IF($A31="","",SUMIFS(بفرا!$D:$D,بفرا!$C:$C,$A31,بفرا!$F:$F,"&lt;&gt;")-SUMIFS(بفرا!$D:$D,بفرا!$C:$C,$A31,بفرا!$G:$G,"&lt;&gt;",بفرا!$F:$F,""))</f>
        <v/>
      </c>
      <c r="Z31" s="5" t="str">
        <f>IF($A31="","",SUMIFS('محل كوم النور'!$D:$D,'محل كوم النور'!$C:$C,$A31,'محل كوم النور'!$F:$F,"&lt;&gt;")-SUMIFS('محل كوم النور'!$D:$D,'محل كوم النور'!$C:$C,$A31,'محل كوم النور'!$G:$G,"&lt;&gt;",'محل كوم النور'!$F:$F,""))</f>
        <v/>
      </c>
      <c r="AA31" s="5" t="str">
        <f>IF($A31="","",SUMIFS('محمد النجار'!$D:$D,'محمد النجار'!$C:$C,$A31,'محمد النجار'!$F:$F,"&lt;&gt;")-SUMIFS('محمد النجار'!$D:$D,'محمد النجار'!$C:$C,$A31,'محمد النجار'!$G:$G,"&lt;&gt;",'محمد النجار'!$F:$F,""))</f>
        <v/>
      </c>
      <c r="AB31" s="5" t="str">
        <f>IF($A31="","",SUMIFS('محمود عبدالرسول'!$D:$D,'محمود عبدالرسول'!$C:$C,$A31,'محمود عبدالرسول'!$F:$F,"&lt;&gt;")-SUMIFS('محمود عبدالرسول'!$D:$D,'محمود عبدالرسول'!$C:$C,$A31,'محمود عبدالرسول'!$G:$G,"&lt;&gt;",'محمود عبدالرسول'!$F:$F,""))</f>
        <v/>
      </c>
      <c r="AC31" s="5" t="str">
        <f>IF($A31="","",SUMIFS('مول المصطفي'!$D:$D,'مول المصطفي'!$C:$C,$A31,'مول المصطفي'!$F:$F,"&lt;&gt;")-SUMIFS('مول المصطفي'!$D:$D,'مول المصطفي'!$C:$C,$A31,'مول المصطفي'!$G:$G,"&lt;&gt;",'مول المصطفي'!$F:$F,""))</f>
        <v/>
      </c>
      <c r="AD31" s="5" t="str">
        <f>IF($A31="","",SUMIFS(مصانع!$D:$D,مصانع!$C:$C,$A31,مصانع!$F:$F,"&lt;&gt;")-SUMIFS(مصانع!$D:$D,مصانع!$C:$C,$A31,مصانع!$G:$G,"&lt;&gt;",مصانع!$F:$F,""))</f>
        <v/>
      </c>
      <c r="AE31" s="6" t="str">
        <f t="shared" si="7"/>
        <v/>
      </c>
      <c r="AF31" s="7"/>
      <c r="AG31" s="8"/>
      <c r="AH31" s="9" t="str">
        <f t="shared" si="5"/>
        <v/>
      </c>
      <c r="AI31" s="8"/>
      <c r="AJ31" s="6" t="str">
        <f t="shared" si="4"/>
        <v/>
      </c>
    </row>
    <row r="32" spans="1:36">
      <c r="A32" s="4"/>
      <c r="B32" s="5" t="str">
        <f>IF($A32="","",SUMIFS('4K حموده'!$D:$D,'4K حموده'!$C:$C,$A32,'4K حموده'!$F:$F,"&lt;&gt;")-SUMIFS('4K حموده'!$D:$D,'4K حموده'!$C:$C,$A32,'4K حموده'!$G:$G,"&lt;&gt;",'4K حموده'!$F:$F,""))</f>
        <v/>
      </c>
      <c r="C32" s="5" t="str">
        <f>IF($A32="","",SUMIFS('مكتب القاضي'!$D:$D,'مكتب القاضي'!$C:$C,$A32,'مكتب القاضي'!$F:$F,"&lt;&gt;")-SUMIFS('مكتب القاضي'!$D:$D,'مكتب القاضي'!$C:$C,$A32,'مكتب القاضي'!$G:$G,"&lt;&gt;",'مكتب القاضي'!$F:$F,""))</f>
        <v/>
      </c>
      <c r="D32" s="5" t="str">
        <f>IF($A32="","",SUMIFS(الاتشو!$D:$D,الاتشو!$C:$C,$A32,الاتشو!$F:$F,"&lt;&gt;")-SUMIFS(الاتشو!$D:$D,الاتشو!$C:$C,$A32,الاتشو!$G:$G,"&lt;&gt;",الاتشو!$F:$F,""))</f>
        <v/>
      </c>
      <c r="E32" s="5" t="str">
        <f>IF($A32="","",SUMIFS('علاء بوم ارض النت'!$D:$D,'علاء بوم ارض النت'!$C:$C,$A32,'علاء بوم ارض النت'!$F:$F,"&lt;&gt;")-SUMIFS('علاء بوم ارض النت'!$D:$D,'علاء بوم ارض النت'!$C:$C,$A32,'علاء بوم ارض النت'!$G:$G,"&lt;&gt;",'علاء بوم ارض النت'!$F:$F,""))</f>
        <v/>
      </c>
      <c r="F32" s="5" t="str">
        <f>IF($A32="","",SUMIFS('كيمو ميت ابو خالد'!$D:$D,'كيمو ميت ابو خالد'!$C:$C,$A32,'كيمو ميت ابو خالد'!$F:$F,"&lt;&gt;")-SUMIFS('كيمو ميت ابو خالد'!$D:$D,'كيمو ميت ابو خالد'!$C:$C,$A32,'كيمو ميت ابو خالد'!$G:$G,"&lt;&gt;",'كيمو ميت ابو خالد'!$F:$F,""))</f>
        <v/>
      </c>
      <c r="G32" s="5" t="str">
        <f>IF($A32="","",SUMIFS(KAZO!$D:$D,KAZO!$C:$C,$A32,KAZO!$F:$F,"&lt;&gt;")-SUMIFS(KAZO!$D:$D,KAZO!$C:$C,$A32,KAZO!$G:$G,"&lt;&gt;",KAZO!$F:$F,""))</f>
        <v/>
      </c>
      <c r="H32" s="5" t="str">
        <f>IF($A32="","",SUMIFS(LAFY!$D:$D,LAFY!$C:$C,$A32,LAFY!$F:$F,"&lt;&gt;")-SUMIFS(LAFY!$D:$D,LAFY!$C:$C,$A32,LAFY!$G:$G,"&lt;&gt;",LAFY!$F:$F,""))</f>
        <v/>
      </c>
      <c r="I32" s="5" t="str">
        <f>IF($A32="","",SUMIFS('POINT زفتي (جديد)'!$D:$D,'POINT زفتي (جديد)'!$C:$C,$A32,'POINT زفتي (جديد)'!$F:$F,"&lt;&gt;")-SUMIFS('POINT زفتي (جديد)'!$D:$D,'POINT زفتي (جديد)'!$C:$C,$A32,'POINT زفتي (جديد)'!$G:$G,"&lt;&gt;",'POINT زفتي (جديد)'!$F:$F,""))</f>
        <v/>
      </c>
      <c r="J32" s="5" t="str">
        <f>IF($A32="","",SUMIFS('POINT سعد زغلول (قديم)'!$D:$D,'POINT سعد زغلول (قديم)'!$C:$C,$A32,'POINT سعد زغلول (قديم)'!$F:$F,"&lt;&gt;")-SUMIFS('POINT سعد زغلول (قديم)'!$D:$D,'POINT سعد زغلول (قديم)'!$C:$C,$A32,'POINT سعد زغلول (قديم)'!$G:$G,"&lt;&gt;",'POINT سعد زغلول (قديم)'!$F:$F,""))</f>
        <v/>
      </c>
      <c r="K32" s="5" t="str">
        <f>IF($A32="","",SUMIFS('POWER ارض النت'!$D:$D,'POWER ارض النت'!$C:$C,$A32,'POWER ارض النت'!$F:$F,"&lt;&gt;")-SUMIFS('POWER ارض النت'!$D:$D,'POWER ارض النت'!$C:$C,$A32,'POWER ارض النت'!$G:$G,"&lt;&gt;",'POWER ارض النت'!$F:$F,""))</f>
        <v/>
      </c>
      <c r="L32" s="5" t="str">
        <f>IF($A32="","",SUMIFS('POWER زفتي'!$D:$D,'POWER زفتي'!$C:$C,$A32,'POWER زفتي'!$F:$F,"&lt;&gt;")-SUMIFS('POWER زفتي'!$D:$D,'POWER زفتي'!$C:$C,$A32,'POWER زفتي'!$G:$G,"&lt;&gt;",'POWER زفتي'!$F:$F,""))</f>
        <v/>
      </c>
      <c r="M32" s="5" t="str">
        <f>IF($A32="","",SUMIFS('احمد المنوفي'!$D:$D,'احمد المنوفي'!$C:$C,$A32,'احمد المنوفي'!$F:$F,"&lt;&gt;")-SUMIFS('احمد المنوفي'!$D:$D,'احمد المنوفي'!$C:$C,$A32,'احمد المنوفي'!$G:$G,"&lt;&gt;",'احمد المنوفي'!$F:$F,""))</f>
        <v/>
      </c>
      <c r="N32" s="5" t="str">
        <f>IF($A32="","",SUMIFS(السفير!$D:$D,السفير!$C:$C,$A32,السفير!$F:$F,"&lt;&gt;")-SUMIFS(السفير!$D:$D,السفير!$C:$C,$A32,السفير!$G:$G,"&lt;&gt;",السفير!$F:$F,""))</f>
        <v/>
      </c>
      <c r="O32" s="5" t="str">
        <f>IF($A32="","",SUMIFS(العالمي!$D:$D,العالمي!$C:$C,$A32,العالمي!$F:$F,"&lt;&gt;")-SUMIFS(العالمي!$D:$D,العالمي!$C:$C,$A32,العالمي!$G:$G,"&lt;&gt;",العالمي!$F:$F,""))</f>
        <v/>
      </c>
      <c r="P32" s="5" t="str">
        <f>IF($A32="","",SUMIFS('باهي التركي'!$D:$D,'باهي التركي'!$C:$C,$A32,'باهي التركي'!$F:$F,"&lt;&gt;")-SUMIFS('باهي التركي'!$D:$D,'باهي التركي'!$C:$C,$A32,'باهي التركي'!$G:$G,"&lt;&gt;",'باهي التركي'!$F:$F,""))</f>
        <v/>
      </c>
      <c r="Q32" s="5" t="str">
        <f>IF($A32="","",SUMIFS('توتي دماص'!$D:$D,'توتي دماص'!$C:$C,$A32,'توتي دماص'!$F:$F,"&lt;&gt;")-SUMIFS('توتي دماص'!$D:$D,'توتي دماص'!$C:$C,$A32,'توتي دماص'!$G:$G,"&lt;&gt;",'توتي دماص'!$F:$F,""))</f>
        <v/>
      </c>
      <c r="R32" s="5" t="str">
        <f>IF($A32="","",SUMIFS('رضا محمد'!$D:$D,'رضا محمد'!$C:$C,$A32,'رضا محمد'!$F:$F,"&lt;&gt;")-SUMIFS('رضا محمد'!$D:$D,'رضا محمد'!$C:$C,$A32,'رضا محمد'!$G:$G,"&lt;&gt;",'رضا محمد'!$F:$F,""))</f>
        <v/>
      </c>
      <c r="S32" s="5" t="str">
        <f>IF($A32="","",SUMIFS('زومبي العشري'!$D:$D,'زومبي العشري'!$C:$C,$A32,'زومبي العشري'!$F:$F,"&lt;&gt;")-SUMIFS('زومبي العشري'!$D:$D,'زومبي العشري'!$C:$C,$A32,'زومبي العشري'!$G:$G,"&lt;&gt;",'زومبي العشري'!$F:$F,""))</f>
        <v/>
      </c>
      <c r="T32" s="5" t="str">
        <f>IF($A32="","",SUMIFS('محمد عرابي'!$D:$D,'محمد عرابي'!$C:$C,$A32,'محمد عرابي'!$F:$F,"&lt;&gt;")-SUMIFS('محمد عرابي'!$D:$D,'محمد عرابي'!$C:$C,$A32,'محمد عرابي'!$G:$G,"&lt;&gt;",'محمد عرابي'!$F:$F,""))</f>
        <v/>
      </c>
      <c r="U32" s="5" t="str">
        <f>IF($A32="","",SUMIFS('عم جمال'!$D:$D,'عم جمال'!$C:$C,$A32,'عم جمال'!$F:$F,"&lt;&gt;")-SUMIFS('عم جمال'!$D:$D,'عم جمال'!$C:$C,$A32,'عم جمال'!$G:$G,"&lt;&gt;",'عم جمال'!$F:$F,""))</f>
        <v/>
      </c>
      <c r="V32" s="5" t="str">
        <f>IF($A32="","",SUMIFS('فاير سيليكت'!$D:$D,'فاير سيليكت'!$C:$C,$A32,'فاير سيليكت'!$F:$F,"&lt;&gt;")-SUMIFS('فاير سيليكت'!$D:$D,'فاير سيليكت'!$C:$C,$A32,'فاير سيليكت'!$G:$G,"&lt;&gt;",'فاير سيليكت'!$F:$F,""))</f>
        <v/>
      </c>
      <c r="W32" s="5" t="str">
        <f>IF($A32="","",SUMIFS(فرانكو!$D:$D,فرانكو!$C:$C,$A32,فرانكو!$F:$F,"&lt;&gt;")-SUMIFS(فرانكو!$D:$D,فرانكو!$C:$C,$A32,فرانكو!$G:$G,"&lt;&gt;",فرانكو!$F:$F,""))</f>
        <v/>
      </c>
      <c r="X32" s="5" t="str">
        <f>IF($A32="","",SUMIFS('كريم بكر'!$D:$D,'كريم بكر'!$C:$C,$A32,'كريم بكر'!$F:$F,"&lt;&gt;")-SUMIFS('كريم بكر'!$D:$D,'كريم بكر'!$C:$C,$A32,'كريم بكر'!$G:$G,"&lt;&gt;",'كريم بكر'!$F:$F,""))</f>
        <v/>
      </c>
      <c r="Y32" s="5" t="str">
        <f>IF($A32="","",SUMIFS(بفرا!$D:$D,بفرا!$C:$C,$A32,بفرا!$F:$F,"&lt;&gt;")-SUMIFS(بفرا!$D:$D,بفرا!$C:$C,$A32,بفرا!$G:$G,"&lt;&gt;",بفرا!$F:$F,""))</f>
        <v/>
      </c>
      <c r="Z32" s="5" t="str">
        <f>IF($A32="","",SUMIFS('محل كوم النور'!$D:$D,'محل كوم النور'!$C:$C,$A32,'محل كوم النور'!$F:$F,"&lt;&gt;")-SUMIFS('محل كوم النور'!$D:$D,'محل كوم النور'!$C:$C,$A32,'محل كوم النور'!$G:$G,"&lt;&gt;",'محل كوم النور'!$F:$F,""))</f>
        <v/>
      </c>
      <c r="AA32" s="5" t="str">
        <f>IF($A32="","",SUMIFS('محمد النجار'!$D:$D,'محمد النجار'!$C:$C,$A32,'محمد النجار'!$F:$F,"&lt;&gt;")-SUMIFS('محمد النجار'!$D:$D,'محمد النجار'!$C:$C,$A32,'محمد النجار'!$G:$G,"&lt;&gt;",'محمد النجار'!$F:$F,""))</f>
        <v/>
      </c>
      <c r="AB32" s="5" t="str">
        <f>IF($A32="","",SUMIFS('محمود عبدالرسول'!$D:$D,'محمود عبدالرسول'!$C:$C,$A32,'محمود عبدالرسول'!$F:$F,"&lt;&gt;")-SUMIFS('محمود عبدالرسول'!$D:$D,'محمود عبدالرسول'!$C:$C,$A32,'محمود عبدالرسول'!$G:$G,"&lt;&gt;",'محمود عبدالرسول'!$F:$F,""))</f>
        <v/>
      </c>
      <c r="AC32" s="5" t="str">
        <f>IF($A32="","",SUMIFS('مول المصطفي'!$D:$D,'مول المصطفي'!$C:$C,$A32,'مول المصطفي'!$F:$F,"&lt;&gt;")-SUMIFS('مول المصطفي'!$D:$D,'مول المصطفي'!$C:$C,$A32,'مول المصطفي'!$G:$G,"&lt;&gt;",'مول المصطفي'!$F:$F,""))</f>
        <v/>
      </c>
      <c r="AD32" s="5" t="str">
        <f>IF($A32="","",SUMIFS(مصانع!$D:$D,مصانع!$C:$C,$A32,مصانع!$F:$F,"&lt;&gt;")-SUMIFS(مصانع!$D:$D,مصانع!$C:$C,$A32,مصانع!$G:$G,"&lt;&gt;",مصانع!$F:$F,""))</f>
        <v/>
      </c>
      <c r="AE32" s="6" t="str">
        <f t="shared" si="7"/>
        <v/>
      </c>
      <c r="AF32" s="7"/>
      <c r="AG32" s="8"/>
      <c r="AH32" s="9" t="str">
        <f t="shared" si="5"/>
        <v/>
      </c>
      <c r="AI32" s="8"/>
      <c r="AJ32" s="6" t="str">
        <f t="shared" si="4"/>
        <v/>
      </c>
    </row>
    <row r="33" spans="1:36">
      <c r="A33" s="4"/>
      <c r="B33" s="5" t="str">
        <f>IF($A33="","",SUMIFS('4K حموده'!$D:$D,'4K حموده'!$C:$C,$A33,'4K حموده'!$F:$F,"&lt;&gt;")-SUMIFS('4K حموده'!$D:$D,'4K حموده'!$C:$C,$A33,'4K حموده'!$G:$G,"&lt;&gt;",'4K حموده'!$F:$F,""))</f>
        <v/>
      </c>
      <c r="C33" s="5" t="str">
        <f>IF($A33="","",SUMIFS('مكتب القاضي'!$D:$D,'مكتب القاضي'!$C:$C,$A33,'مكتب القاضي'!$F:$F,"&lt;&gt;")-SUMIFS('مكتب القاضي'!$D:$D,'مكتب القاضي'!$C:$C,$A33,'مكتب القاضي'!$G:$G,"&lt;&gt;",'مكتب القاضي'!$F:$F,""))</f>
        <v/>
      </c>
      <c r="D33" s="5" t="str">
        <f>IF($A33="","",SUMIFS(الاتشو!$D:$D,الاتشو!$C:$C,$A33,الاتشو!$F:$F,"&lt;&gt;")-SUMIFS(الاتشو!$D:$D,الاتشو!$C:$C,$A33,الاتشو!$G:$G,"&lt;&gt;",الاتشو!$F:$F,""))</f>
        <v/>
      </c>
      <c r="E33" s="5" t="str">
        <f>IF($A33="","",SUMIFS('علاء بوم ارض النت'!$D:$D,'علاء بوم ارض النت'!$C:$C,$A33,'علاء بوم ارض النت'!$F:$F,"&lt;&gt;")-SUMIFS('علاء بوم ارض النت'!$D:$D,'علاء بوم ارض النت'!$C:$C,$A33,'علاء بوم ارض النت'!$G:$G,"&lt;&gt;",'علاء بوم ارض النت'!$F:$F,""))</f>
        <v/>
      </c>
      <c r="F33" s="5" t="str">
        <f>IF($A33="","",SUMIFS('كيمو ميت ابو خالد'!$D:$D,'كيمو ميت ابو خالد'!$C:$C,$A33,'كيمو ميت ابو خالد'!$F:$F,"&lt;&gt;")-SUMIFS('كيمو ميت ابو خالد'!$D:$D,'كيمو ميت ابو خالد'!$C:$C,$A33,'كيمو ميت ابو خالد'!$G:$G,"&lt;&gt;",'كيمو ميت ابو خالد'!$F:$F,""))</f>
        <v/>
      </c>
      <c r="G33" s="5" t="str">
        <f>IF($A33="","",SUMIFS(KAZO!$D:$D,KAZO!$C:$C,$A33,KAZO!$F:$F,"&lt;&gt;")-SUMIFS(KAZO!$D:$D,KAZO!$C:$C,$A33,KAZO!$G:$G,"&lt;&gt;",KAZO!$F:$F,""))</f>
        <v/>
      </c>
      <c r="H33" s="5" t="str">
        <f>IF($A33="","",SUMIFS(LAFY!$D:$D,LAFY!$C:$C,$A33,LAFY!$F:$F,"&lt;&gt;")-SUMIFS(LAFY!$D:$D,LAFY!$C:$C,$A33,LAFY!$G:$G,"&lt;&gt;",LAFY!$F:$F,""))</f>
        <v/>
      </c>
      <c r="I33" s="5" t="str">
        <f>IF($A33="","",SUMIFS('POINT زفتي (جديد)'!$D:$D,'POINT زفتي (جديد)'!$C:$C,$A33,'POINT زفتي (جديد)'!$F:$F,"&lt;&gt;")-SUMIFS('POINT زفتي (جديد)'!$D:$D,'POINT زفتي (جديد)'!$C:$C,$A33,'POINT زفتي (جديد)'!$G:$G,"&lt;&gt;",'POINT زفتي (جديد)'!$F:$F,""))</f>
        <v/>
      </c>
      <c r="J33" s="5" t="str">
        <f>IF($A33="","",SUMIFS('POINT سعد زغلول (قديم)'!$D:$D,'POINT سعد زغلول (قديم)'!$C:$C,$A33,'POINT سعد زغلول (قديم)'!$F:$F,"&lt;&gt;")-SUMIFS('POINT سعد زغلول (قديم)'!$D:$D,'POINT سعد زغلول (قديم)'!$C:$C,$A33,'POINT سعد زغلول (قديم)'!$G:$G,"&lt;&gt;",'POINT سعد زغلول (قديم)'!$F:$F,""))</f>
        <v/>
      </c>
      <c r="K33" s="5" t="str">
        <f>IF($A33="","",SUMIFS('POWER ارض النت'!$D:$D,'POWER ارض النت'!$C:$C,$A33,'POWER ارض النت'!$F:$F,"&lt;&gt;")-SUMIFS('POWER ارض النت'!$D:$D,'POWER ارض النت'!$C:$C,$A33,'POWER ارض النت'!$G:$G,"&lt;&gt;",'POWER ارض النت'!$F:$F,""))</f>
        <v/>
      </c>
      <c r="L33" s="5" t="str">
        <f>IF($A33="","",SUMIFS('POWER زفتي'!$D:$D,'POWER زفتي'!$C:$C,$A33,'POWER زفتي'!$F:$F,"&lt;&gt;")-SUMIFS('POWER زفتي'!$D:$D,'POWER زفتي'!$C:$C,$A33,'POWER زفتي'!$G:$G,"&lt;&gt;",'POWER زفتي'!$F:$F,""))</f>
        <v/>
      </c>
      <c r="M33" s="5" t="str">
        <f>IF($A33="","",SUMIFS('احمد المنوفي'!$D:$D,'احمد المنوفي'!$C:$C,$A33,'احمد المنوفي'!$F:$F,"&lt;&gt;")-SUMIFS('احمد المنوفي'!$D:$D,'احمد المنوفي'!$C:$C,$A33,'احمد المنوفي'!$G:$G,"&lt;&gt;",'احمد المنوفي'!$F:$F,""))</f>
        <v/>
      </c>
      <c r="N33" s="5" t="str">
        <f>IF($A33="","",SUMIFS(السفير!$D:$D,السفير!$C:$C,$A33,السفير!$F:$F,"&lt;&gt;")-SUMIFS(السفير!$D:$D,السفير!$C:$C,$A33,السفير!$G:$G,"&lt;&gt;",السفير!$F:$F,""))</f>
        <v/>
      </c>
      <c r="O33" s="5" t="str">
        <f>IF($A33="","",SUMIFS(العالمي!$D:$D,العالمي!$C:$C,$A33,العالمي!$F:$F,"&lt;&gt;")-SUMIFS(العالمي!$D:$D,العالمي!$C:$C,$A33,العالمي!$G:$G,"&lt;&gt;",العالمي!$F:$F,""))</f>
        <v/>
      </c>
      <c r="P33" s="5" t="str">
        <f>IF($A33="","",SUMIFS('باهي التركي'!$D:$D,'باهي التركي'!$C:$C,$A33,'باهي التركي'!$F:$F,"&lt;&gt;")-SUMIFS('باهي التركي'!$D:$D,'باهي التركي'!$C:$C,$A33,'باهي التركي'!$G:$G,"&lt;&gt;",'باهي التركي'!$F:$F,""))</f>
        <v/>
      </c>
      <c r="Q33" s="5" t="str">
        <f>IF($A33="","",SUMIFS('توتي دماص'!$D:$D,'توتي دماص'!$C:$C,$A33,'توتي دماص'!$F:$F,"&lt;&gt;")-SUMIFS('توتي دماص'!$D:$D,'توتي دماص'!$C:$C,$A33,'توتي دماص'!$G:$G,"&lt;&gt;",'توتي دماص'!$F:$F,""))</f>
        <v/>
      </c>
      <c r="R33" s="5" t="str">
        <f>IF($A33="","",SUMIFS('رضا محمد'!$D:$D,'رضا محمد'!$C:$C,$A33,'رضا محمد'!$F:$F,"&lt;&gt;")-SUMIFS('رضا محمد'!$D:$D,'رضا محمد'!$C:$C,$A33,'رضا محمد'!$G:$G,"&lt;&gt;",'رضا محمد'!$F:$F,""))</f>
        <v/>
      </c>
      <c r="S33" s="5" t="str">
        <f>IF($A33="","",SUMIFS('زومبي العشري'!$D:$D,'زومبي العشري'!$C:$C,$A33,'زومبي العشري'!$F:$F,"&lt;&gt;")-SUMIFS('زومبي العشري'!$D:$D,'زومبي العشري'!$C:$C,$A33,'زومبي العشري'!$G:$G,"&lt;&gt;",'زومبي العشري'!$F:$F,""))</f>
        <v/>
      </c>
      <c r="T33" s="5" t="str">
        <f>IF($A33="","",SUMIFS('محمد عرابي'!$D:$D,'محمد عرابي'!$C:$C,$A33,'محمد عرابي'!$F:$F,"&lt;&gt;")-SUMIFS('محمد عرابي'!$D:$D,'محمد عرابي'!$C:$C,$A33,'محمد عرابي'!$G:$G,"&lt;&gt;",'محمد عرابي'!$F:$F,""))</f>
        <v/>
      </c>
      <c r="U33" s="5" t="str">
        <f>IF($A33="","",SUMIFS('عم جمال'!$D:$D,'عم جمال'!$C:$C,$A33,'عم جمال'!$F:$F,"&lt;&gt;")-SUMIFS('عم جمال'!$D:$D,'عم جمال'!$C:$C,$A33,'عم جمال'!$G:$G,"&lt;&gt;",'عم جمال'!$F:$F,""))</f>
        <v/>
      </c>
      <c r="V33" s="5" t="str">
        <f>IF($A33="","",SUMIFS('فاير سيليكت'!$D:$D,'فاير سيليكت'!$C:$C,$A33,'فاير سيليكت'!$F:$F,"&lt;&gt;")-SUMIFS('فاير سيليكت'!$D:$D,'فاير سيليكت'!$C:$C,$A33,'فاير سيليكت'!$G:$G,"&lt;&gt;",'فاير سيليكت'!$F:$F,""))</f>
        <v/>
      </c>
      <c r="W33" s="5" t="str">
        <f>IF($A33="","",SUMIFS(فرانكو!$D:$D,فرانكو!$C:$C,$A33,فرانكو!$F:$F,"&lt;&gt;")-SUMIFS(فرانكو!$D:$D,فرانكو!$C:$C,$A33,فرانكو!$G:$G,"&lt;&gt;",فرانكو!$F:$F,""))</f>
        <v/>
      </c>
      <c r="X33" s="5" t="str">
        <f>IF($A33="","",SUMIFS('كريم بكر'!$D:$D,'كريم بكر'!$C:$C,$A33,'كريم بكر'!$F:$F,"&lt;&gt;")-SUMIFS('كريم بكر'!$D:$D,'كريم بكر'!$C:$C,$A33,'كريم بكر'!$G:$G,"&lt;&gt;",'كريم بكر'!$F:$F,""))</f>
        <v/>
      </c>
      <c r="Y33" s="5" t="str">
        <f>IF($A33="","",SUMIFS(بفرا!$D:$D,بفرا!$C:$C,$A33,بفرا!$F:$F,"&lt;&gt;")-SUMIFS(بفرا!$D:$D,بفرا!$C:$C,$A33,بفرا!$G:$G,"&lt;&gt;",بفرا!$F:$F,""))</f>
        <v/>
      </c>
      <c r="Z33" s="5" t="str">
        <f>IF($A33="","",SUMIFS('محل كوم النور'!$D:$D,'محل كوم النور'!$C:$C,$A33,'محل كوم النور'!$F:$F,"&lt;&gt;")-SUMIFS('محل كوم النور'!$D:$D,'محل كوم النور'!$C:$C,$A33,'محل كوم النور'!$G:$G,"&lt;&gt;",'محل كوم النور'!$F:$F,""))</f>
        <v/>
      </c>
      <c r="AA33" s="5" t="str">
        <f>IF($A33="","",SUMIFS('محمد النجار'!$D:$D,'محمد النجار'!$C:$C,$A33,'محمد النجار'!$F:$F,"&lt;&gt;")-SUMIFS('محمد النجار'!$D:$D,'محمد النجار'!$C:$C,$A33,'محمد النجار'!$G:$G,"&lt;&gt;",'محمد النجار'!$F:$F,""))</f>
        <v/>
      </c>
      <c r="AB33" s="5" t="str">
        <f>IF($A33="","",SUMIFS('محمود عبدالرسول'!$D:$D,'محمود عبدالرسول'!$C:$C,$A33,'محمود عبدالرسول'!$F:$F,"&lt;&gt;")-SUMIFS('محمود عبدالرسول'!$D:$D,'محمود عبدالرسول'!$C:$C,$A33,'محمود عبدالرسول'!$G:$G,"&lt;&gt;",'محمود عبدالرسول'!$F:$F,""))</f>
        <v/>
      </c>
      <c r="AC33" s="5" t="str">
        <f>IF($A33="","",SUMIFS('مول المصطفي'!$D:$D,'مول المصطفي'!$C:$C,$A33,'مول المصطفي'!$F:$F,"&lt;&gt;")-SUMIFS('مول المصطفي'!$D:$D,'مول المصطفي'!$C:$C,$A33,'مول المصطفي'!$G:$G,"&lt;&gt;",'مول المصطفي'!$F:$F,""))</f>
        <v/>
      </c>
      <c r="AD33" s="5" t="str">
        <f>IF($A33="","",SUMIFS(مصانع!$D:$D,مصانع!$C:$C,$A33,مصانع!$F:$F,"&lt;&gt;")-SUMIFS(مصانع!$D:$D,مصانع!$C:$C,$A33,مصانع!$G:$G,"&lt;&gt;",مصانع!$F:$F,""))</f>
        <v/>
      </c>
      <c r="AE33" s="6" t="str">
        <f t="shared" si="7"/>
        <v/>
      </c>
      <c r="AF33" s="7"/>
      <c r="AG33" s="8"/>
      <c r="AH33" s="9" t="str">
        <f t="shared" si="5"/>
        <v/>
      </c>
      <c r="AI33" s="8"/>
      <c r="AJ33" s="6" t="str">
        <f t="shared" si="4"/>
        <v/>
      </c>
    </row>
    <row r="34" spans="1:36">
      <c r="A34" s="4"/>
      <c r="B34" s="5" t="str">
        <f>IF($A34="","",SUMIFS('4K حموده'!$D:$D,'4K حموده'!$C:$C,$A34,'4K حموده'!$F:$F,"&lt;&gt;")-SUMIFS('4K حموده'!$D:$D,'4K حموده'!$C:$C,$A34,'4K حموده'!$G:$G,"&lt;&gt;",'4K حموده'!$F:$F,""))</f>
        <v/>
      </c>
      <c r="C34" s="5" t="str">
        <f>IF($A34="","",SUMIFS('مكتب القاضي'!$D:$D,'مكتب القاضي'!$C:$C,$A34,'مكتب القاضي'!$F:$F,"&lt;&gt;")-SUMIFS('مكتب القاضي'!$D:$D,'مكتب القاضي'!$C:$C,$A34,'مكتب القاضي'!$G:$G,"&lt;&gt;",'مكتب القاضي'!$F:$F,""))</f>
        <v/>
      </c>
      <c r="D34" s="5" t="str">
        <f>IF($A34="","",SUMIFS(الاتشو!$D:$D,الاتشو!$C:$C,$A34,الاتشو!$F:$F,"&lt;&gt;")-SUMIFS(الاتشو!$D:$D,الاتشو!$C:$C,$A34,الاتشو!$G:$G,"&lt;&gt;",الاتشو!$F:$F,""))</f>
        <v/>
      </c>
      <c r="E34" s="5" t="str">
        <f>IF($A34="","",SUMIFS('علاء بوم ارض النت'!$D:$D,'علاء بوم ارض النت'!$C:$C,$A34,'علاء بوم ارض النت'!$F:$F,"&lt;&gt;")-SUMIFS('علاء بوم ارض النت'!$D:$D,'علاء بوم ارض النت'!$C:$C,$A34,'علاء بوم ارض النت'!$G:$G,"&lt;&gt;",'علاء بوم ارض النت'!$F:$F,""))</f>
        <v/>
      </c>
      <c r="F34" s="5" t="str">
        <f>IF($A34="","",SUMIFS('كيمو ميت ابو خالد'!$D:$D,'كيمو ميت ابو خالد'!$C:$C,$A34,'كيمو ميت ابو خالد'!$F:$F,"&lt;&gt;")-SUMIFS('كيمو ميت ابو خالد'!$D:$D,'كيمو ميت ابو خالد'!$C:$C,$A34,'كيمو ميت ابو خالد'!$G:$G,"&lt;&gt;",'كيمو ميت ابو خالد'!$F:$F,""))</f>
        <v/>
      </c>
      <c r="G34" s="5" t="str">
        <f>IF($A34="","",SUMIFS(KAZO!$D:$D,KAZO!$C:$C,$A34,KAZO!$F:$F,"&lt;&gt;")-SUMIFS(KAZO!$D:$D,KAZO!$C:$C,$A34,KAZO!$G:$G,"&lt;&gt;",KAZO!$F:$F,""))</f>
        <v/>
      </c>
      <c r="H34" s="5" t="str">
        <f>IF($A34="","",SUMIFS(LAFY!$D:$D,LAFY!$C:$C,$A34,LAFY!$F:$F,"&lt;&gt;")-SUMIFS(LAFY!$D:$D,LAFY!$C:$C,$A34,LAFY!$G:$G,"&lt;&gt;",LAFY!$F:$F,""))</f>
        <v/>
      </c>
      <c r="I34" s="5" t="str">
        <f>IF($A34="","",SUMIFS('POINT زفتي (جديد)'!$D:$D,'POINT زفتي (جديد)'!$C:$C,$A34,'POINT زفتي (جديد)'!$F:$F,"&lt;&gt;")-SUMIFS('POINT زفتي (جديد)'!$D:$D,'POINT زفتي (جديد)'!$C:$C,$A34,'POINT زفتي (جديد)'!$G:$G,"&lt;&gt;",'POINT زفتي (جديد)'!$F:$F,""))</f>
        <v/>
      </c>
      <c r="J34" s="5" t="str">
        <f>IF($A34="","",SUMIFS('POINT سعد زغلول (قديم)'!$D:$D,'POINT سعد زغلول (قديم)'!$C:$C,$A34,'POINT سعد زغلول (قديم)'!$F:$F,"&lt;&gt;")-SUMIFS('POINT سعد زغلول (قديم)'!$D:$D,'POINT سعد زغلول (قديم)'!$C:$C,$A34,'POINT سعد زغلول (قديم)'!$G:$G,"&lt;&gt;",'POINT سعد زغلول (قديم)'!$F:$F,""))</f>
        <v/>
      </c>
      <c r="K34" s="5" t="str">
        <f>IF($A34="","",SUMIFS('POWER ارض النت'!$D:$D,'POWER ارض النت'!$C:$C,$A34,'POWER ارض النت'!$F:$F,"&lt;&gt;")-SUMIFS('POWER ارض النت'!$D:$D,'POWER ارض النت'!$C:$C,$A34,'POWER ارض النت'!$G:$G,"&lt;&gt;",'POWER ارض النت'!$F:$F,""))</f>
        <v/>
      </c>
      <c r="L34" s="5" t="str">
        <f>IF($A34="","",SUMIFS('POWER زفتي'!$D:$D,'POWER زفتي'!$C:$C,$A34,'POWER زفتي'!$F:$F,"&lt;&gt;")-SUMIFS('POWER زفتي'!$D:$D,'POWER زفتي'!$C:$C,$A34,'POWER زفتي'!$G:$G,"&lt;&gt;",'POWER زفتي'!$F:$F,""))</f>
        <v/>
      </c>
      <c r="M34" s="5" t="str">
        <f>IF($A34="","",SUMIFS('احمد المنوفي'!$D:$D,'احمد المنوفي'!$C:$C,$A34,'احمد المنوفي'!$F:$F,"&lt;&gt;")-SUMIFS('احمد المنوفي'!$D:$D,'احمد المنوفي'!$C:$C,$A34,'احمد المنوفي'!$G:$G,"&lt;&gt;",'احمد المنوفي'!$F:$F,""))</f>
        <v/>
      </c>
      <c r="N34" s="5" t="str">
        <f>IF($A34="","",SUMIFS(السفير!$D:$D,السفير!$C:$C,$A34,السفير!$F:$F,"&lt;&gt;")-SUMIFS(السفير!$D:$D,السفير!$C:$C,$A34,السفير!$G:$G,"&lt;&gt;",السفير!$F:$F,""))</f>
        <v/>
      </c>
      <c r="O34" s="5" t="str">
        <f>IF($A34="","",SUMIFS(العالمي!$D:$D,العالمي!$C:$C,$A34,العالمي!$F:$F,"&lt;&gt;")-SUMIFS(العالمي!$D:$D,العالمي!$C:$C,$A34,العالمي!$G:$G,"&lt;&gt;",العالمي!$F:$F,""))</f>
        <v/>
      </c>
      <c r="P34" s="5" t="str">
        <f>IF($A34="","",SUMIFS('باهي التركي'!$D:$D,'باهي التركي'!$C:$C,$A34,'باهي التركي'!$F:$F,"&lt;&gt;")-SUMIFS('باهي التركي'!$D:$D,'باهي التركي'!$C:$C,$A34,'باهي التركي'!$G:$G,"&lt;&gt;",'باهي التركي'!$F:$F,""))</f>
        <v/>
      </c>
      <c r="Q34" s="5" t="str">
        <f>IF($A34="","",SUMIFS('توتي دماص'!$D:$D,'توتي دماص'!$C:$C,$A34,'توتي دماص'!$F:$F,"&lt;&gt;")-SUMIFS('توتي دماص'!$D:$D,'توتي دماص'!$C:$C,$A34,'توتي دماص'!$G:$G,"&lt;&gt;",'توتي دماص'!$F:$F,""))</f>
        <v/>
      </c>
      <c r="R34" s="5" t="str">
        <f>IF($A34="","",SUMIFS('رضا محمد'!$D:$D,'رضا محمد'!$C:$C,$A34,'رضا محمد'!$F:$F,"&lt;&gt;")-SUMIFS('رضا محمد'!$D:$D,'رضا محمد'!$C:$C,$A34,'رضا محمد'!$G:$G,"&lt;&gt;",'رضا محمد'!$F:$F,""))</f>
        <v/>
      </c>
      <c r="S34" s="5" t="str">
        <f>IF($A34="","",SUMIFS('زومبي العشري'!$D:$D,'زومبي العشري'!$C:$C,$A34,'زومبي العشري'!$F:$F,"&lt;&gt;")-SUMIFS('زومبي العشري'!$D:$D,'زومبي العشري'!$C:$C,$A34,'زومبي العشري'!$G:$G,"&lt;&gt;",'زومبي العشري'!$F:$F,""))</f>
        <v/>
      </c>
      <c r="T34" s="5" t="str">
        <f>IF($A34="","",SUMIFS('محمد عرابي'!$D:$D,'محمد عرابي'!$C:$C,$A34,'محمد عرابي'!$F:$F,"&lt;&gt;")-SUMIFS('محمد عرابي'!$D:$D,'محمد عرابي'!$C:$C,$A34,'محمد عرابي'!$G:$G,"&lt;&gt;",'محمد عرابي'!$F:$F,""))</f>
        <v/>
      </c>
      <c r="U34" s="5" t="str">
        <f>IF($A34="","",SUMIFS('عم جمال'!$D:$D,'عم جمال'!$C:$C,$A34,'عم جمال'!$F:$F,"&lt;&gt;")-SUMIFS('عم جمال'!$D:$D,'عم جمال'!$C:$C,$A34,'عم جمال'!$G:$G,"&lt;&gt;",'عم جمال'!$F:$F,""))</f>
        <v/>
      </c>
      <c r="V34" s="5" t="str">
        <f>IF($A34="","",SUMIFS('فاير سيليكت'!$D:$D,'فاير سيليكت'!$C:$C,$A34,'فاير سيليكت'!$F:$F,"&lt;&gt;")-SUMIFS('فاير سيليكت'!$D:$D,'فاير سيليكت'!$C:$C,$A34,'فاير سيليكت'!$G:$G,"&lt;&gt;",'فاير سيليكت'!$F:$F,""))</f>
        <v/>
      </c>
      <c r="W34" s="5" t="str">
        <f>IF($A34="","",SUMIFS(فرانكو!$D:$D,فرانكو!$C:$C,$A34,فرانكو!$F:$F,"&lt;&gt;")-SUMIFS(فرانكو!$D:$D,فرانكو!$C:$C,$A34,فرانكو!$G:$G,"&lt;&gt;",فرانكو!$F:$F,""))</f>
        <v/>
      </c>
      <c r="X34" s="5" t="str">
        <f>IF($A34="","",SUMIFS('كريم بكر'!$D:$D,'كريم بكر'!$C:$C,$A34,'كريم بكر'!$F:$F,"&lt;&gt;")-SUMIFS('كريم بكر'!$D:$D,'كريم بكر'!$C:$C,$A34,'كريم بكر'!$G:$G,"&lt;&gt;",'كريم بكر'!$F:$F,""))</f>
        <v/>
      </c>
      <c r="Y34" s="5" t="str">
        <f>IF($A34="","",SUMIFS(بفرا!$D:$D,بفرا!$C:$C,$A34,بفرا!$F:$F,"&lt;&gt;")-SUMIFS(بفرا!$D:$D,بفرا!$C:$C,$A34,بفرا!$G:$G,"&lt;&gt;",بفرا!$F:$F,""))</f>
        <v/>
      </c>
      <c r="Z34" s="5" t="str">
        <f>IF($A34="","",SUMIFS('محل كوم النور'!$D:$D,'محل كوم النور'!$C:$C,$A34,'محل كوم النور'!$F:$F,"&lt;&gt;")-SUMIFS('محل كوم النور'!$D:$D,'محل كوم النور'!$C:$C,$A34,'محل كوم النور'!$G:$G,"&lt;&gt;",'محل كوم النور'!$F:$F,""))</f>
        <v/>
      </c>
      <c r="AA34" s="5" t="str">
        <f>IF($A34="","",SUMIFS('محمد النجار'!$D:$D,'محمد النجار'!$C:$C,$A34,'محمد النجار'!$F:$F,"&lt;&gt;")-SUMIFS('محمد النجار'!$D:$D,'محمد النجار'!$C:$C,$A34,'محمد النجار'!$G:$G,"&lt;&gt;",'محمد النجار'!$F:$F,""))</f>
        <v/>
      </c>
      <c r="AB34" s="5" t="str">
        <f>IF($A34="","",SUMIFS('محمود عبدالرسول'!$D:$D,'محمود عبدالرسول'!$C:$C,$A34,'محمود عبدالرسول'!$F:$F,"&lt;&gt;")-SUMIFS('محمود عبدالرسول'!$D:$D,'محمود عبدالرسول'!$C:$C,$A34,'محمود عبدالرسول'!$G:$G,"&lt;&gt;",'محمود عبدالرسول'!$F:$F,""))</f>
        <v/>
      </c>
      <c r="AC34" s="5" t="str">
        <f>IF($A34="","",SUMIFS('مول المصطفي'!$D:$D,'مول المصطفي'!$C:$C,$A34,'مول المصطفي'!$F:$F,"&lt;&gt;")-SUMIFS('مول المصطفي'!$D:$D,'مول المصطفي'!$C:$C,$A34,'مول المصطفي'!$G:$G,"&lt;&gt;",'مول المصطفي'!$F:$F,""))</f>
        <v/>
      </c>
      <c r="AD34" s="5" t="str">
        <f>IF($A34="","",SUMIFS(مصانع!$D:$D,مصانع!$C:$C,$A34,مصانع!$F:$F,"&lt;&gt;")-SUMIFS(مصانع!$D:$D,مصانع!$C:$C,$A34,مصانع!$G:$G,"&lt;&gt;",مصانع!$F:$F,""))</f>
        <v/>
      </c>
      <c r="AE34" s="6" t="str">
        <f t="shared" si="7"/>
        <v/>
      </c>
      <c r="AF34" s="7"/>
      <c r="AG34" s="8"/>
      <c r="AH34" s="9" t="str">
        <f t="shared" si="5"/>
        <v/>
      </c>
      <c r="AI34" s="8"/>
      <c r="AJ34" s="6" t="str">
        <f t="shared" si="4"/>
        <v/>
      </c>
    </row>
    <row r="35" spans="1:36">
      <c r="A35" s="4"/>
      <c r="B35" s="5" t="str">
        <f>IF($A35="","",SUMIFS('4K حموده'!$D:$D,'4K حموده'!$C:$C,$A35,'4K حموده'!$F:$F,"&lt;&gt;")-SUMIFS('4K حموده'!$D:$D,'4K حموده'!$C:$C,$A35,'4K حموده'!$G:$G,"&lt;&gt;",'4K حموده'!$F:$F,""))</f>
        <v/>
      </c>
      <c r="C35" s="5" t="str">
        <f>IF($A35="","",SUMIFS('مكتب القاضي'!$D:$D,'مكتب القاضي'!$C:$C,$A35,'مكتب القاضي'!$F:$F,"&lt;&gt;")-SUMIFS('مكتب القاضي'!$D:$D,'مكتب القاضي'!$C:$C,$A35,'مكتب القاضي'!$G:$G,"&lt;&gt;",'مكتب القاضي'!$F:$F,""))</f>
        <v/>
      </c>
      <c r="D35" s="5" t="str">
        <f>IF($A35="","",SUMIFS(الاتشو!$D:$D,الاتشو!$C:$C,$A35,الاتشو!$F:$F,"&lt;&gt;")-SUMIFS(الاتشو!$D:$D,الاتشو!$C:$C,$A35,الاتشو!$G:$G,"&lt;&gt;",الاتشو!$F:$F,""))</f>
        <v/>
      </c>
      <c r="E35" s="5" t="str">
        <f>IF($A35="","",SUMIFS('علاء بوم ارض النت'!$D:$D,'علاء بوم ارض النت'!$C:$C,$A35,'علاء بوم ارض النت'!$F:$F,"&lt;&gt;")-SUMIFS('علاء بوم ارض النت'!$D:$D,'علاء بوم ارض النت'!$C:$C,$A35,'علاء بوم ارض النت'!$G:$G,"&lt;&gt;",'علاء بوم ارض النت'!$F:$F,""))</f>
        <v/>
      </c>
      <c r="F35" s="5" t="str">
        <f>IF($A35="","",SUMIFS('كيمو ميت ابو خالد'!$D:$D,'كيمو ميت ابو خالد'!$C:$C,$A35,'كيمو ميت ابو خالد'!$F:$F,"&lt;&gt;")-SUMIFS('كيمو ميت ابو خالد'!$D:$D,'كيمو ميت ابو خالد'!$C:$C,$A35,'كيمو ميت ابو خالد'!$G:$G,"&lt;&gt;",'كيمو ميت ابو خالد'!$F:$F,""))</f>
        <v/>
      </c>
      <c r="G35" s="5" t="str">
        <f>IF($A35="","",SUMIFS(KAZO!$D:$D,KAZO!$C:$C,$A35,KAZO!$F:$F,"&lt;&gt;")-SUMIFS(KAZO!$D:$D,KAZO!$C:$C,$A35,KAZO!$G:$G,"&lt;&gt;",KAZO!$F:$F,""))</f>
        <v/>
      </c>
      <c r="H35" s="5" t="str">
        <f>IF($A35="","",SUMIFS(LAFY!$D:$D,LAFY!$C:$C,$A35,LAFY!$F:$F,"&lt;&gt;")-SUMIFS(LAFY!$D:$D,LAFY!$C:$C,$A35,LAFY!$G:$G,"&lt;&gt;",LAFY!$F:$F,""))</f>
        <v/>
      </c>
      <c r="I35" s="5" t="str">
        <f>IF($A35="","",SUMIFS('POINT زفتي (جديد)'!$D:$D,'POINT زفتي (جديد)'!$C:$C,$A35,'POINT زفتي (جديد)'!$F:$F,"&lt;&gt;")-SUMIFS('POINT زفتي (جديد)'!$D:$D,'POINT زفتي (جديد)'!$C:$C,$A35,'POINT زفتي (جديد)'!$G:$G,"&lt;&gt;",'POINT زفتي (جديد)'!$F:$F,""))</f>
        <v/>
      </c>
      <c r="J35" s="5" t="str">
        <f>IF($A35="","",SUMIFS('POINT سعد زغلول (قديم)'!$D:$D,'POINT سعد زغلول (قديم)'!$C:$C,$A35,'POINT سعد زغلول (قديم)'!$F:$F,"&lt;&gt;")-SUMIFS('POINT سعد زغلول (قديم)'!$D:$D,'POINT سعد زغلول (قديم)'!$C:$C,$A35,'POINT سعد زغلول (قديم)'!$G:$G,"&lt;&gt;",'POINT سعد زغلول (قديم)'!$F:$F,""))</f>
        <v/>
      </c>
      <c r="K35" s="5" t="str">
        <f>IF($A35="","",SUMIFS('POWER ارض النت'!$D:$D,'POWER ارض النت'!$C:$C,$A35,'POWER ارض النت'!$F:$F,"&lt;&gt;")-SUMIFS('POWER ارض النت'!$D:$D,'POWER ارض النت'!$C:$C,$A35,'POWER ارض النت'!$G:$G,"&lt;&gt;",'POWER ارض النت'!$F:$F,""))</f>
        <v/>
      </c>
      <c r="L35" s="5" t="str">
        <f>IF($A35="","",SUMIFS('POWER زفتي'!$D:$D,'POWER زفتي'!$C:$C,$A35,'POWER زفتي'!$F:$F,"&lt;&gt;")-SUMIFS('POWER زفتي'!$D:$D,'POWER زفتي'!$C:$C,$A35,'POWER زفتي'!$G:$G,"&lt;&gt;",'POWER زفتي'!$F:$F,""))</f>
        <v/>
      </c>
      <c r="M35" s="5" t="str">
        <f>IF($A35="","",SUMIFS('احمد المنوفي'!$D:$D,'احمد المنوفي'!$C:$C,$A35,'احمد المنوفي'!$F:$F,"&lt;&gt;")-SUMIFS('احمد المنوفي'!$D:$D,'احمد المنوفي'!$C:$C,$A35,'احمد المنوفي'!$G:$G,"&lt;&gt;",'احمد المنوفي'!$F:$F,""))</f>
        <v/>
      </c>
      <c r="N35" s="5" t="str">
        <f>IF($A35="","",SUMIFS(السفير!$D:$D,السفير!$C:$C,$A35,السفير!$F:$F,"&lt;&gt;")-SUMIFS(السفير!$D:$D,السفير!$C:$C,$A35,السفير!$G:$G,"&lt;&gt;",السفير!$F:$F,""))</f>
        <v/>
      </c>
      <c r="O35" s="5" t="str">
        <f>IF($A35="","",SUMIFS(العالمي!$D:$D,العالمي!$C:$C,$A35,العالمي!$F:$F,"&lt;&gt;")-SUMIFS(العالمي!$D:$D,العالمي!$C:$C,$A35,العالمي!$G:$G,"&lt;&gt;",العالمي!$F:$F,""))</f>
        <v/>
      </c>
      <c r="P35" s="5" t="str">
        <f>IF($A35="","",SUMIFS('باهي التركي'!$D:$D,'باهي التركي'!$C:$C,$A35,'باهي التركي'!$F:$F,"&lt;&gt;")-SUMIFS('باهي التركي'!$D:$D,'باهي التركي'!$C:$C,$A35,'باهي التركي'!$G:$G,"&lt;&gt;",'باهي التركي'!$F:$F,""))</f>
        <v/>
      </c>
      <c r="Q35" s="5" t="str">
        <f>IF($A35="","",SUMIFS('توتي دماص'!$D:$D,'توتي دماص'!$C:$C,$A35,'توتي دماص'!$F:$F,"&lt;&gt;")-SUMIFS('توتي دماص'!$D:$D,'توتي دماص'!$C:$C,$A35,'توتي دماص'!$G:$G,"&lt;&gt;",'توتي دماص'!$F:$F,""))</f>
        <v/>
      </c>
      <c r="R35" s="5" t="str">
        <f>IF($A35="","",SUMIFS('رضا محمد'!$D:$D,'رضا محمد'!$C:$C,$A35,'رضا محمد'!$F:$F,"&lt;&gt;")-SUMIFS('رضا محمد'!$D:$D,'رضا محمد'!$C:$C,$A35,'رضا محمد'!$G:$G,"&lt;&gt;",'رضا محمد'!$F:$F,""))</f>
        <v/>
      </c>
      <c r="S35" s="5" t="str">
        <f>IF($A35="","",SUMIFS('زومبي العشري'!$D:$D,'زومبي العشري'!$C:$C,$A35,'زومبي العشري'!$F:$F,"&lt;&gt;")-SUMIFS('زومبي العشري'!$D:$D,'زومبي العشري'!$C:$C,$A35,'زومبي العشري'!$G:$G,"&lt;&gt;",'زومبي العشري'!$F:$F,""))</f>
        <v/>
      </c>
      <c r="T35" s="5" t="str">
        <f>IF($A35="","",SUMIFS('محمد عرابي'!$D:$D,'محمد عرابي'!$C:$C,$A35,'محمد عرابي'!$F:$F,"&lt;&gt;")-SUMIFS('محمد عرابي'!$D:$D,'محمد عرابي'!$C:$C,$A35,'محمد عرابي'!$G:$G,"&lt;&gt;",'محمد عرابي'!$F:$F,""))</f>
        <v/>
      </c>
      <c r="U35" s="5" t="str">
        <f>IF($A35="","",SUMIFS('عم جمال'!$D:$D,'عم جمال'!$C:$C,$A35,'عم جمال'!$F:$F,"&lt;&gt;")-SUMIFS('عم جمال'!$D:$D,'عم جمال'!$C:$C,$A35,'عم جمال'!$G:$G,"&lt;&gt;",'عم جمال'!$F:$F,""))</f>
        <v/>
      </c>
      <c r="V35" s="5" t="str">
        <f>IF($A35="","",SUMIFS('فاير سيليكت'!$D:$D,'فاير سيليكت'!$C:$C,$A35,'فاير سيليكت'!$F:$F,"&lt;&gt;")-SUMIFS('فاير سيليكت'!$D:$D,'فاير سيليكت'!$C:$C,$A35,'فاير سيليكت'!$G:$G,"&lt;&gt;",'فاير سيليكت'!$F:$F,""))</f>
        <v/>
      </c>
      <c r="W35" s="5" t="str">
        <f>IF($A35="","",SUMIFS(فرانكو!$D:$D,فرانكو!$C:$C,$A35,فرانكو!$F:$F,"&lt;&gt;")-SUMIFS(فرانكو!$D:$D,فرانكو!$C:$C,$A35,فرانكو!$G:$G,"&lt;&gt;",فرانكو!$F:$F,""))</f>
        <v/>
      </c>
      <c r="X35" s="5" t="str">
        <f>IF($A35="","",SUMIFS('كريم بكر'!$D:$D,'كريم بكر'!$C:$C,$A35,'كريم بكر'!$F:$F,"&lt;&gt;")-SUMIFS('كريم بكر'!$D:$D,'كريم بكر'!$C:$C,$A35,'كريم بكر'!$G:$G,"&lt;&gt;",'كريم بكر'!$F:$F,""))</f>
        <v/>
      </c>
      <c r="Y35" s="5" t="str">
        <f>IF($A35="","",SUMIFS(بفرا!$D:$D,بفرا!$C:$C,$A35,بفرا!$F:$F,"&lt;&gt;")-SUMIFS(بفرا!$D:$D,بفرا!$C:$C,$A35,بفرا!$G:$G,"&lt;&gt;",بفرا!$F:$F,""))</f>
        <v/>
      </c>
      <c r="Z35" s="5" t="str">
        <f>IF($A35="","",SUMIFS('محل كوم النور'!$D:$D,'محل كوم النور'!$C:$C,$A35,'محل كوم النور'!$F:$F,"&lt;&gt;")-SUMIFS('محل كوم النور'!$D:$D,'محل كوم النور'!$C:$C,$A35,'محل كوم النور'!$G:$G,"&lt;&gt;",'محل كوم النور'!$F:$F,""))</f>
        <v/>
      </c>
      <c r="AA35" s="5" t="str">
        <f>IF($A35="","",SUMIFS('محمد النجار'!$D:$D,'محمد النجار'!$C:$C,$A35,'محمد النجار'!$F:$F,"&lt;&gt;")-SUMIFS('محمد النجار'!$D:$D,'محمد النجار'!$C:$C,$A35,'محمد النجار'!$G:$G,"&lt;&gt;",'محمد النجار'!$F:$F,""))</f>
        <v/>
      </c>
      <c r="AB35" s="5" t="str">
        <f>IF($A35="","",SUMIFS('محمود عبدالرسول'!$D:$D,'محمود عبدالرسول'!$C:$C,$A35,'محمود عبدالرسول'!$F:$F,"&lt;&gt;")-SUMIFS('محمود عبدالرسول'!$D:$D,'محمود عبدالرسول'!$C:$C,$A35,'محمود عبدالرسول'!$G:$G,"&lt;&gt;",'محمود عبدالرسول'!$F:$F,""))</f>
        <v/>
      </c>
      <c r="AC35" s="5" t="str">
        <f>IF($A35="","",SUMIFS('مول المصطفي'!$D:$D,'مول المصطفي'!$C:$C,$A35,'مول المصطفي'!$F:$F,"&lt;&gt;")-SUMIFS('مول المصطفي'!$D:$D,'مول المصطفي'!$C:$C,$A35,'مول المصطفي'!$G:$G,"&lt;&gt;",'مول المصطفي'!$F:$F,""))</f>
        <v/>
      </c>
      <c r="AD35" s="5" t="str">
        <f>IF($A35="","",SUMIFS(مصانع!$D:$D,مصانع!$C:$C,$A35,مصانع!$F:$F,"&lt;&gt;")-SUMIFS(مصانع!$D:$D,مصانع!$C:$C,$A35,مصانع!$G:$G,"&lt;&gt;",مصانع!$F:$F,""))</f>
        <v/>
      </c>
      <c r="AE35" s="6" t="str">
        <f t="shared" si="3"/>
        <v/>
      </c>
      <c r="AF35" s="7"/>
      <c r="AG35" s="8"/>
      <c r="AH35" s="9" t="str">
        <f t="shared" si="5"/>
        <v/>
      </c>
      <c r="AI35" s="8"/>
      <c r="AJ35" s="6" t="str">
        <f t="shared" si="4"/>
        <v/>
      </c>
    </row>
    <row r="36" spans="1:36">
      <c r="A36" s="4"/>
      <c r="B36" s="5" t="str">
        <f>IF($A36="","",SUMIFS('4K حموده'!$D:$D,'4K حموده'!$C:$C,$A36,'4K حموده'!$F:$F,"&lt;&gt;")-SUMIFS('4K حموده'!$D:$D,'4K حموده'!$C:$C,$A36,'4K حموده'!$G:$G,"&lt;&gt;",'4K حموده'!$F:$F,""))</f>
        <v/>
      </c>
      <c r="C36" s="5" t="str">
        <f>IF($A36="","",SUMIFS('مكتب القاضي'!$D:$D,'مكتب القاضي'!$C:$C,$A36,'مكتب القاضي'!$F:$F,"&lt;&gt;")-SUMIFS('مكتب القاضي'!$D:$D,'مكتب القاضي'!$C:$C,$A36,'مكتب القاضي'!$G:$G,"&lt;&gt;",'مكتب القاضي'!$F:$F,""))</f>
        <v/>
      </c>
      <c r="D36" s="5" t="str">
        <f>IF($A36="","",SUMIFS(الاتشو!$D:$D,الاتشو!$C:$C,$A36,الاتشو!$F:$F,"&lt;&gt;")-SUMIFS(الاتشو!$D:$D,الاتشو!$C:$C,$A36,الاتشو!$G:$G,"&lt;&gt;",الاتشو!$F:$F,""))</f>
        <v/>
      </c>
      <c r="E36" s="5" t="str">
        <f>IF($A36="","",SUMIFS('علاء بوم ارض النت'!$D:$D,'علاء بوم ارض النت'!$C:$C,$A36,'علاء بوم ارض النت'!$F:$F,"&lt;&gt;")-SUMIFS('علاء بوم ارض النت'!$D:$D,'علاء بوم ارض النت'!$C:$C,$A36,'علاء بوم ارض النت'!$G:$G,"&lt;&gt;",'علاء بوم ارض النت'!$F:$F,""))</f>
        <v/>
      </c>
      <c r="F36" s="5" t="str">
        <f>IF($A36="","",SUMIFS('كيمو ميت ابو خالد'!$D:$D,'كيمو ميت ابو خالد'!$C:$C,$A36,'كيمو ميت ابو خالد'!$F:$F,"&lt;&gt;")-SUMIFS('كيمو ميت ابو خالد'!$D:$D,'كيمو ميت ابو خالد'!$C:$C,$A36,'كيمو ميت ابو خالد'!$G:$G,"&lt;&gt;",'كيمو ميت ابو خالد'!$F:$F,""))</f>
        <v/>
      </c>
      <c r="G36" s="5" t="str">
        <f>IF($A36="","",SUMIFS(KAZO!$D:$D,KAZO!$C:$C,$A36,KAZO!$F:$F,"&lt;&gt;")-SUMIFS(KAZO!$D:$D,KAZO!$C:$C,$A36,KAZO!$G:$G,"&lt;&gt;",KAZO!$F:$F,""))</f>
        <v/>
      </c>
      <c r="H36" s="5" t="str">
        <f>IF($A36="","",SUMIFS(LAFY!$D:$D,LAFY!$C:$C,$A36,LAFY!$F:$F,"&lt;&gt;")-SUMIFS(LAFY!$D:$D,LAFY!$C:$C,$A36,LAFY!$G:$G,"&lt;&gt;",LAFY!$F:$F,""))</f>
        <v/>
      </c>
      <c r="I36" s="5" t="str">
        <f>IF($A36="","",SUMIFS('POINT زفتي (جديد)'!$D:$D,'POINT زفتي (جديد)'!$C:$C,$A36,'POINT زفتي (جديد)'!$F:$F,"&lt;&gt;")-SUMIFS('POINT زفتي (جديد)'!$D:$D,'POINT زفتي (جديد)'!$C:$C,$A36,'POINT زفتي (جديد)'!$G:$G,"&lt;&gt;",'POINT زفتي (جديد)'!$F:$F,""))</f>
        <v/>
      </c>
      <c r="J36" s="5" t="str">
        <f>IF($A36="","",SUMIFS('POINT سعد زغلول (قديم)'!$D:$D,'POINT سعد زغلول (قديم)'!$C:$C,$A36,'POINT سعد زغلول (قديم)'!$F:$F,"&lt;&gt;")-SUMIFS('POINT سعد زغلول (قديم)'!$D:$D,'POINT سعد زغلول (قديم)'!$C:$C,$A36,'POINT سعد زغلول (قديم)'!$G:$G,"&lt;&gt;",'POINT سعد زغلول (قديم)'!$F:$F,""))</f>
        <v/>
      </c>
      <c r="K36" s="5" t="str">
        <f>IF($A36="","",SUMIFS('POWER ارض النت'!$D:$D,'POWER ارض النت'!$C:$C,$A36,'POWER ارض النت'!$F:$F,"&lt;&gt;")-SUMIFS('POWER ارض النت'!$D:$D,'POWER ارض النت'!$C:$C,$A36,'POWER ارض النت'!$G:$G,"&lt;&gt;",'POWER ارض النت'!$F:$F,""))</f>
        <v/>
      </c>
      <c r="L36" s="5" t="str">
        <f>IF($A36="","",SUMIFS('POWER زفتي'!$D:$D,'POWER زفتي'!$C:$C,$A36,'POWER زفتي'!$F:$F,"&lt;&gt;")-SUMIFS('POWER زفتي'!$D:$D,'POWER زفتي'!$C:$C,$A36,'POWER زفتي'!$G:$G,"&lt;&gt;",'POWER زفتي'!$F:$F,""))</f>
        <v/>
      </c>
      <c r="M36" s="5" t="str">
        <f>IF($A36="","",SUMIFS('احمد المنوفي'!$D:$D,'احمد المنوفي'!$C:$C,$A36,'احمد المنوفي'!$F:$F,"&lt;&gt;")-SUMIFS('احمد المنوفي'!$D:$D,'احمد المنوفي'!$C:$C,$A36,'احمد المنوفي'!$G:$G,"&lt;&gt;",'احمد المنوفي'!$F:$F,""))</f>
        <v/>
      </c>
      <c r="N36" s="5" t="str">
        <f>IF($A36="","",SUMIFS(السفير!$D:$D,السفير!$C:$C,$A36,السفير!$F:$F,"&lt;&gt;")-SUMIFS(السفير!$D:$D,السفير!$C:$C,$A36,السفير!$G:$G,"&lt;&gt;",السفير!$F:$F,""))</f>
        <v/>
      </c>
      <c r="O36" s="5" t="str">
        <f>IF($A36="","",SUMIFS(العالمي!$D:$D,العالمي!$C:$C,$A36,العالمي!$F:$F,"&lt;&gt;")-SUMIFS(العالمي!$D:$D,العالمي!$C:$C,$A36,العالمي!$G:$G,"&lt;&gt;",العالمي!$F:$F,""))</f>
        <v/>
      </c>
      <c r="P36" s="5" t="str">
        <f>IF($A36="","",SUMIFS('باهي التركي'!$D:$D,'باهي التركي'!$C:$C,$A36,'باهي التركي'!$F:$F,"&lt;&gt;")-SUMIFS('باهي التركي'!$D:$D,'باهي التركي'!$C:$C,$A36,'باهي التركي'!$G:$G,"&lt;&gt;",'باهي التركي'!$F:$F,""))</f>
        <v/>
      </c>
      <c r="Q36" s="5" t="str">
        <f>IF($A36="","",SUMIFS('توتي دماص'!$D:$D,'توتي دماص'!$C:$C,$A36,'توتي دماص'!$F:$F,"&lt;&gt;")-SUMIFS('توتي دماص'!$D:$D,'توتي دماص'!$C:$C,$A36,'توتي دماص'!$G:$G,"&lt;&gt;",'توتي دماص'!$F:$F,""))</f>
        <v/>
      </c>
      <c r="R36" s="5" t="str">
        <f>IF($A36="","",SUMIFS('رضا محمد'!$D:$D,'رضا محمد'!$C:$C,$A36,'رضا محمد'!$F:$F,"&lt;&gt;")-SUMIFS('رضا محمد'!$D:$D,'رضا محمد'!$C:$C,$A36,'رضا محمد'!$G:$G,"&lt;&gt;",'رضا محمد'!$F:$F,""))</f>
        <v/>
      </c>
      <c r="S36" s="5" t="str">
        <f>IF($A36="","",SUMIFS('زومبي العشري'!$D:$D,'زومبي العشري'!$C:$C,$A36,'زومبي العشري'!$F:$F,"&lt;&gt;")-SUMIFS('زومبي العشري'!$D:$D,'زومبي العشري'!$C:$C,$A36,'زومبي العشري'!$G:$G,"&lt;&gt;",'زومبي العشري'!$F:$F,""))</f>
        <v/>
      </c>
      <c r="T36" s="5" t="str">
        <f>IF($A36="","",SUMIFS('محمد عرابي'!$D:$D,'محمد عرابي'!$C:$C,$A36,'محمد عرابي'!$F:$F,"&lt;&gt;")-SUMIFS('محمد عرابي'!$D:$D,'محمد عرابي'!$C:$C,$A36,'محمد عرابي'!$G:$G,"&lt;&gt;",'محمد عرابي'!$F:$F,""))</f>
        <v/>
      </c>
      <c r="U36" s="5" t="str">
        <f>IF($A36="","",SUMIFS('عم جمال'!$D:$D,'عم جمال'!$C:$C,$A36,'عم جمال'!$F:$F,"&lt;&gt;")-SUMIFS('عم جمال'!$D:$D,'عم جمال'!$C:$C,$A36,'عم جمال'!$G:$G,"&lt;&gt;",'عم جمال'!$F:$F,""))</f>
        <v/>
      </c>
      <c r="V36" s="5" t="str">
        <f>IF($A36="","",SUMIFS('فاير سيليكت'!$D:$D,'فاير سيليكت'!$C:$C,$A36,'فاير سيليكت'!$F:$F,"&lt;&gt;")-SUMIFS('فاير سيليكت'!$D:$D,'فاير سيليكت'!$C:$C,$A36,'فاير سيليكت'!$G:$G,"&lt;&gt;",'فاير سيليكت'!$F:$F,""))</f>
        <v/>
      </c>
      <c r="W36" s="5" t="str">
        <f>IF($A36="","",SUMIFS(فرانكو!$D:$D,فرانكو!$C:$C,$A36,فرانكو!$F:$F,"&lt;&gt;")-SUMIFS(فرانكو!$D:$D,فرانكو!$C:$C,$A36,فرانكو!$G:$G,"&lt;&gt;",فرانكو!$F:$F,""))</f>
        <v/>
      </c>
      <c r="X36" s="5" t="str">
        <f>IF($A36="","",SUMIFS('كريم بكر'!$D:$D,'كريم بكر'!$C:$C,$A36,'كريم بكر'!$F:$F,"&lt;&gt;")-SUMIFS('كريم بكر'!$D:$D,'كريم بكر'!$C:$C,$A36,'كريم بكر'!$G:$G,"&lt;&gt;",'كريم بكر'!$F:$F,""))</f>
        <v/>
      </c>
      <c r="Y36" s="5" t="str">
        <f>IF($A36="","",SUMIFS(بفرا!$D:$D,بفرا!$C:$C,$A36,بفرا!$F:$F,"&lt;&gt;")-SUMIFS(بفرا!$D:$D,بفرا!$C:$C,$A36,بفرا!$G:$G,"&lt;&gt;",بفرا!$F:$F,""))</f>
        <v/>
      </c>
      <c r="Z36" s="5" t="str">
        <f>IF($A36="","",SUMIFS('محل كوم النور'!$D:$D,'محل كوم النور'!$C:$C,$A36,'محل كوم النور'!$F:$F,"&lt;&gt;")-SUMIFS('محل كوم النور'!$D:$D,'محل كوم النور'!$C:$C,$A36,'محل كوم النور'!$G:$G,"&lt;&gt;",'محل كوم النور'!$F:$F,""))</f>
        <v/>
      </c>
      <c r="AA36" s="5" t="str">
        <f>IF($A36="","",SUMIFS('محمد النجار'!$D:$D,'محمد النجار'!$C:$C,$A36,'محمد النجار'!$F:$F,"&lt;&gt;")-SUMIFS('محمد النجار'!$D:$D,'محمد النجار'!$C:$C,$A36,'محمد النجار'!$G:$G,"&lt;&gt;",'محمد النجار'!$F:$F,""))</f>
        <v/>
      </c>
      <c r="AB36" s="5" t="str">
        <f>IF($A36="","",SUMIFS('محمود عبدالرسول'!$D:$D,'محمود عبدالرسول'!$C:$C,$A36,'محمود عبدالرسول'!$F:$F,"&lt;&gt;")-SUMIFS('محمود عبدالرسول'!$D:$D,'محمود عبدالرسول'!$C:$C,$A36,'محمود عبدالرسول'!$G:$G,"&lt;&gt;",'محمود عبدالرسول'!$F:$F,""))</f>
        <v/>
      </c>
      <c r="AC36" s="5" t="str">
        <f>IF($A36="","",SUMIFS('مول المصطفي'!$D:$D,'مول المصطفي'!$C:$C,$A36,'مول المصطفي'!$F:$F,"&lt;&gt;")-SUMIFS('مول المصطفي'!$D:$D,'مول المصطفي'!$C:$C,$A36,'مول المصطفي'!$G:$G,"&lt;&gt;",'مول المصطفي'!$F:$F,""))</f>
        <v/>
      </c>
      <c r="AD36" s="5" t="str">
        <f>IF($A36="","",SUMIFS(مصانع!$D:$D,مصانع!$C:$C,$A36,مصانع!$F:$F,"&lt;&gt;")-SUMIFS(مصانع!$D:$D,مصانع!$C:$C,$A36,مصانع!$G:$G,"&lt;&gt;",مصانع!$F:$F,""))</f>
        <v/>
      </c>
      <c r="AE36" s="6" t="str">
        <f t="shared" si="3"/>
        <v/>
      </c>
      <c r="AF36" s="7"/>
      <c r="AG36" s="8"/>
      <c r="AH36" s="9" t="str">
        <f t="shared" si="5"/>
        <v/>
      </c>
      <c r="AI36" s="8"/>
      <c r="AJ36" s="6" t="str">
        <f t="shared" si="4"/>
        <v/>
      </c>
    </row>
    <row r="37" spans="1:36">
      <c r="A37" s="4"/>
      <c r="B37" s="5" t="str">
        <f>IF($A37="","",SUMIFS('4K حموده'!$D:$D,'4K حموده'!$C:$C,$A37,'4K حموده'!$F:$F,"&lt;&gt;")-SUMIFS('4K حموده'!$D:$D,'4K حموده'!$C:$C,$A37,'4K حموده'!$G:$G,"&lt;&gt;",'4K حموده'!$F:$F,""))</f>
        <v/>
      </c>
      <c r="C37" s="5" t="str">
        <f>IF($A37="","",SUMIFS('مكتب القاضي'!$D:$D,'مكتب القاضي'!$C:$C,$A37,'مكتب القاضي'!$F:$F,"&lt;&gt;")-SUMIFS('مكتب القاضي'!$D:$D,'مكتب القاضي'!$C:$C,$A37,'مكتب القاضي'!$G:$G,"&lt;&gt;",'مكتب القاضي'!$F:$F,""))</f>
        <v/>
      </c>
      <c r="D37" s="5" t="str">
        <f>IF($A37="","",SUMIFS(الاتشو!$D:$D,الاتشو!$C:$C,$A37,الاتشو!$F:$F,"&lt;&gt;")-SUMIFS(الاتشو!$D:$D,الاتشو!$C:$C,$A37,الاتشو!$G:$G,"&lt;&gt;",الاتشو!$F:$F,""))</f>
        <v/>
      </c>
      <c r="E37" s="5" t="str">
        <f>IF($A37="","",SUMIFS('علاء بوم ارض النت'!$D:$D,'علاء بوم ارض النت'!$C:$C,$A37,'علاء بوم ارض النت'!$F:$F,"&lt;&gt;")-SUMIFS('علاء بوم ارض النت'!$D:$D,'علاء بوم ارض النت'!$C:$C,$A37,'علاء بوم ارض النت'!$G:$G,"&lt;&gt;",'علاء بوم ارض النت'!$F:$F,""))</f>
        <v/>
      </c>
      <c r="F37" s="5" t="str">
        <f>IF($A37="","",SUMIFS('كيمو ميت ابو خالد'!$D:$D,'كيمو ميت ابو خالد'!$C:$C,$A37,'كيمو ميت ابو خالد'!$F:$F,"&lt;&gt;")-SUMIFS('كيمو ميت ابو خالد'!$D:$D,'كيمو ميت ابو خالد'!$C:$C,$A37,'كيمو ميت ابو خالد'!$G:$G,"&lt;&gt;",'كيمو ميت ابو خالد'!$F:$F,""))</f>
        <v/>
      </c>
      <c r="G37" s="5" t="str">
        <f>IF($A37="","",SUMIFS(KAZO!$D:$D,KAZO!$C:$C,$A37,KAZO!$F:$F,"&lt;&gt;")-SUMIFS(KAZO!$D:$D,KAZO!$C:$C,$A37,KAZO!$G:$G,"&lt;&gt;",KAZO!$F:$F,""))</f>
        <v/>
      </c>
      <c r="H37" s="5" t="str">
        <f>IF($A37="","",SUMIFS(LAFY!$D:$D,LAFY!$C:$C,$A37,LAFY!$F:$F,"&lt;&gt;")-SUMIFS(LAFY!$D:$D,LAFY!$C:$C,$A37,LAFY!$G:$G,"&lt;&gt;",LAFY!$F:$F,""))</f>
        <v/>
      </c>
      <c r="I37" s="5" t="str">
        <f>IF($A37="","",SUMIFS('POINT زفتي (جديد)'!$D:$D,'POINT زفتي (جديد)'!$C:$C,$A37,'POINT زفتي (جديد)'!$F:$F,"&lt;&gt;")-SUMIFS('POINT زفتي (جديد)'!$D:$D,'POINT زفتي (جديد)'!$C:$C,$A37,'POINT زفتي (جديد)'!$G:$G,"&lt;&gt;",'POINT زفتي (جديد)'!$F:$F,""))</f>
        <v/>
      </c>
      <c r="J37" s="5" t="str">
        <f>IF($A37="","",SUMIFS('POINT سعد زغلول (قديم)'!$D:$D,'POINT سعد زغلول (قديم)'!$C:$C,$A37,'POINT سعد زغلول (قديم)'!$F:$F,"&lt;&gt;")-SUMIFS('POINT سعد زغلول (قديم)'!$D:$D,'POINT سعد زغلول (قديم)'!$C:$C,$A37,'POINT سعد زغلول (قديم)'!$G:$G,"&lt;&gt;",'POINT سعد زغلول (قديم)'!$F:$F,""))</f>
        <v/>
      </c>
      <c r="K37" s="5" t="str">
        <f>IF($A37="","",SUMIFS('POWER ارض النت'!$D:$D,'POWER ارض النت'!$C:$C,$A37,'POWER ارض النت'!$F:$F,"&lt;&gt;")-SUMIFS('POWER ارض النت'!$D:$D,'POWER ارض النت'!$C:$C,$A37,'POWER ارض النت'!$G:$G,"&lt;&gt;",'POWER ارض النت'!$F:$F,""))</f>
        <v/>
      </c>
      <c r="L37" s="5" t="str">
        <f>IF($A37="","",SUMIFS('POWER زفتي'!$D:$D,'POWER زفتي'!$C:$C,$A37,'POWER زفتي'!$F:$F,"&lt;&gt;")-SUMIFS('POWER زفتي'!$D:$D,'POWER زفتي'!$C:$C,$A37,'POWER زفتي'!$G:$G,"&lt;&gt;",'POWER زفتي'!$F:$F,""))</f>
        <v/>
      </c>
      <c r="M37" s="5" t="str">
        <f>IF($A37="","",SUMIFS('احمد المنوفي'!$D:$D,'احمد المنوفي'!$C:$C,$A37,'احمد المنوفي'!$F:$F,"&lt;&gt;")-SUMIFS('احمد المنوفي'!$D:$D,'احمد المنوفي'!$C:$C,$A37,'احمد المنوفي'!$G:$G,"&lt;&gt;",'احمد المنوفي'!$F:$F,""))</f>
        <v/>
      </c>
      <c r="N37" s="5" t="str">
        <f>IF($A37="","",SUMIFS(السفير!$D:$D,السفير!$C:$C,$A37,السفير!$F:$F,"&lt;&gt;")-SUMIFS(السفير!$D:$D,السفير!$C:$C,$A37,السفير!$G:$G,"&lt;&gt;",السفير!$F:$F,""))</f>
        <v/>
      </c>
      <c r="O37" s="5" t="str">
        <f>IF($A37="","",SUMIFS(العالمي!$D:$D,العالمي!$C:$C,$A37,العالمي!$F:$F,"&lt;&gt;")-SUMIFS(العالمي!$D:$D,العالمي!$C:$C,$A37,العالمي!$G:$G,"&lt;&gt;",العالمي!$F:$F,""))</f>
        <v/>
      </c>
      <c r="P37" s="5" t="str">
        <f>IF($A37="","",SUMIFS('باهي التركي'!$D:$D,'باهي التركي'!$C:$C,$A37,'باهي التركي'!$F:$F,"&lt;&gt;")-SUMIFS('باهي التركي'!$D:$D,'باهي التركي'!$C:$C,$A37,'باهي التركي'!$G:$G,"&lt;&gt;",'باهي التركي'!$F:$F,""))</f>
        <v/>
      </c>
      <c r="Q37" s="5" t="str">
        <f>IF($A37="","",SUMIFS('توتي دماص'!$D:$D,'توتي دماص'!$C:$C,$A37,'توتي دماص'!$F:$F,"&lt;&gt;")-SUMIFS('توتي دماص'!$D:$D,'توتي دماص'!$C:$C,$A37,'توتي دماص'!$G:$G,"&lt;&gt;",'توتي دماص'!$F:$F,""))</f>
        <v/>
      </c>
      <c r="R37" s="5" t="str">
        <f>IF($A37="","",SUMIFS('رضا محمد'!$D:$D,'رضا محمد'!$C:$C,$A37,'رضا محمد'!$F:$F,"&lt;&gt;")-SUMIFS('رضا محمد'!$D:$D,'رضا محمد'!$C:$C,$A37,'رضا محمد'!$G:$G,"&lt;&gt;",'رضا محمد'!$F:$F,""))</f>
        <v/>
      </c>
      <c r="S37" s="5" t="str">
        <f>IF($A37="","",SUMIFS('زومبي العشري'!$D:$D,'زومبي العشري'!$C:$C,$A37,'زومبي العشري'!$F:$F,"&lt;&gt;")-SUMIFS('زومبي العشري'!$D:$D,'زومبي العشري'!$C:$C,$A37,'زومبي العشري'!$G:$G,"&lt;&gt;",'زومبي العشري'!$F:$F,""))</f>
        <v/>
      </c>
      <c r="T37" s="5" t="str">
        <f>IF($A37="","",SUMIFS('محمد عرابي'!$D:$D,'محمد عرابي'!$C:$C,$A37,'محمد عرابي'!$F:$F,"&lt;&gt;")-SUMIFS('محمد عرابي'!$D:$D,'محمد عرابي'!$C:$C,$A37,'محمد عرابي'!$G:$G,"&lt;&gt;",'محمد عرابي'!$F:$F,""))</f>
        <v/>
      </c>
      <c r="U37" s="5" t="str">
        <f>IF($A37="","",SUMIFS('عم جمال'!$D:$D,'عم جمال'!$C:$C,$A37,'عم جمال'!$F:$F,"&lt;&gt;")-SUMIFS('عم جمال'!$D:$D,'عم جمال'!$C:$C,$A37,'عم جمال'!$G:$G,"&lt;&gt;",'عم جمال'!$F:$F,""))</f>
        <v/>
      </c>
      <c r="V37" s="5" t="str">
        <f>IF($A37="","",SUMIFS('فاير سيليكت'!$D:$D,'فاير سيليكت'!$C:$C,$A37,'فاير سيليكت'!$F:$F,"&lt;&gt;")-SUMIFS('فاير سيليكت'!$D:$D,'فاير سيليكت'!$C:$C,$A37,'فاير سيليكت'!$G:$G,"&lt;&gt;",'فاير سيليكت'!$F:$F,""))</f>
        <v/>
      </c>
      <c r="W37" s="5" t="str">
        <f>IF($A37="","",SUMIFS(فرانكو!$D:$D,فرانكو!$C:$C,$A37,فرانكو!$F:$F,"&lt;&gt;")-SUMIFS(فرانكو!$D:$D,فرانكو!$C:$C,$A37,فرانكو!$G:$G,"&lt;&gt;",فرانكو!$F:$F,""))</f>
        <v/>
      </c>
      <c r="X37" s="5" t="str">
        <f>IF($A37="","",SUMIFS('كريم بكر'!$D:$D,'كريم بكر'!$C:$C,$A37,'كريم بكر'!$F:$F,"&lt;&gt;")-SUMIFS('كريم بكر'!$D:$D,'كريم بكر'!$C:$C,$A37,'كريم بكر'!$G:$G,"&lt;&gt;",'كريم بكر'!$F:$F,""))</f>
        <v/>
      </c>
      <c r="Y37" s="5" t="str">
        <f>IF($A37="","",SUMIFS(بفرا!$D:$D,بفرا!$C:$C,$A37,بفرا!$F:$F,"&lt;&gt;")-SUMIFS(بفرا!$D:$D,بفرا!$C:$C,$A37,بفرا!$G:$G,"&lt;&gt;",بفرا!$F:$F,""))</f>
        <v/>
      </c>
      <c r="Z37" s="5" t="str">
        <f>IF($A37="","",SUMIFS('محل كوم النور'!$D:$D,'محل كوم النور'!$C:$C,$A37,'محل كوم النور'!$F:$F,"&lt;&gt;")-SUMIFS('محل كوم النور'!$D:$D,'محل كوم النور'!$C:$C,$A37,'محل كوم النور'!$G:$G,"&lt;&gt;",'محل كوم النور'!$F:$F,""))</f>
        <v/>
      </c>
      <c r="AA37" s="5" t="str">
        <f>IF($A37="","",SUMIFS('محمد النجار'!$D:$D,'محمد النجار'!$C:$C,$A37,'محمد النجار'!$F:$F,"&lt;&gt;")-SUMIFS('محمد النجار'!$D:$D,'محمد النجار'!$C:$C,$A37,'محمد النجار'!$G:$G,"&lt;&gt;",'محمد النجار'!$F:$F,""))</f>
        <v/>
      </c>
      <c r="AB37" s="5" t="str">
        <f>IF($A37="","",SUMIFS('محمود عبدالرسول'!$D:$D,'محمود عبدالرسول'!$C:$C,$A37,'محمود عبدالرسول'!$F:$F,"&lt;&gt;")-SUMIFS('محمود عبدالرسول'!$D:$D,'محمود عبدالرسول'!$C:$C,$A37,'محمود عبدالرسول'!$G:$G,"&lt;&gt;",'محمود عبدالرسول'!$F:$F,""))</f>
        <v/>
      </c>
      <c r="AC37" s="5" t="str">
        <f>IF($A37="","",SUMIFS('مول المصطفي'!$D:$D,'مول المصطفي'!$C:$C,$A37,'مول المصطفي'!$F:$F,"&lt;&gt;")-SUMIFS('مول المصطفي'!$D:$D,'مول المصطفي'!$C:$C,$A37,'مول المصطفي'!$G:$G,"&lt;&gt;",'مول المصطفي'!$F:$F,""))</f>
        <v/>
      </c>
      <c r="AD37" s="5" t="str">
        <f>IF($A37="","",SUMIFS(مصانع!$D:$D,مصانع!$C:$C,$A37,مصانع!$F:$F,"&lt;&gt;")-SUMIFS(مصانع!$D:$D,مصانع!$C:$C,$A37,مصانع!$G:$G,"&lt;&gt;",مصانع!$F:$F,""))</f>
        <v/>
      </c>
      <c r="AE37" s="6" t="str">
        <f t="shared" si="3"/>
        <v/>
      </c>
      <c r="AF37" s="7"/>
      <c r="AG37" s="8"/>
      <c r="AH37" s="9" t="str">
        <f t="shared" si="5"/>
        <v/>
      </c>
      <c r="AI37" s="8"/>
      <c r="AJ37" s="6" t="str">
        <f t="shared" si="4"/>
        <v/>
      </c>
    </row>
    <row r="38" spans="1:36">
      <c r="A38" s="4"/>
      <c r="B38" s="5" t="str">
        <f>IF($A38="","",SUMIFS('4K حموده'!$D:$D,'4K حموده'!$C:$C,$A38,'4K حموده'!$F:$F,"&lt;&gt;")-SUMIFS('4K حموده'!$D:$D,'4K حموده'!$C:$C,$A38,'4K حموده'!$G:$G,"&lt;&gt;",'4K حموده'!$F:$F,""))</f>
        <v/>
      </c>
      <c r="C38" s="5" t="str">
        <f>IF($A38="","",SUMIFS('مكتب القاضي'!$D:$D,'مكتب القاضي'!$C:$C,$A38,'مكتب القاضي'!$F:$F,"&lt;&gt;")-SUMIFS('مكتب القاضي'!$D:$D,'مكتب القاضي'!$C:$C,$A38,'مكتب القاضي'!$G:$G,"&lt;&gt;",'مكتب القاضي'!$F:$F,""))</f>
        <v/>
      </c>
      <c r="D38" s="5" t="str">
        <f>IF($A38="","",SUMIFS(الاتشو!$D:$D,الاتشو!$C:$C,$A38,الاتشو!$F:$F,"&lt;&gt;")-SUMIFS(الاتشو!$D:$D,الاتشو!$C:$C,$A38,الاتشو!$G:$G,"&lt;&gt;",الاتشو!$F:$F,""))</f>
        <v/>
      </c>
      <c r="E38" s="5" t="str">
        <f>IF($A38="","",SUMIFS('علاء بوم ارض النت'!$D:$D,'علاء بوم ارض النت'!$C:$C,$A38,'علاء بوم ارض النت'!$F:$F,"&lt;&gt;")-SUMIFS('علاء بوم ارض النت'!$D:$D,'علاء بوم ارض النت'!$C:$C,$A38,'علاء بوم ارض النت'!$G:$G,"&lt;&gt;",'علاء بوم ارض النت'!$F:$F,""))</f>
        <v/>
      </c>
      <c r="F38" s="5" t="str">
        <f>IF($A38="","",SUMIFS('كيمو ميت ابو خالد'!$D:$D,'كيمو ميت ابو خالد'!$C:$C,$A38,'كيمو ميت ابو خالد'!$F:$F,"&lt;&gt;")-SUMIFS('كيمو ميت ابو خالد'!$D:$D,'كيمو ميت ابو خالد'!$C:$C,$A38,'كيمو ميت ابو خالد'!$G:$G,"&lt;&gt;",'كيمو ميت ابو خالد'!$F:$F,""))</f>
        <v/>
      </c>
      <c r="G38" s="5" t="str">
        <f>IF($A38="","",SUMIFS(KAZO!$D:$D,KAZO!$C:$C,$A38,KAZO!$F:$F,"&lt;&gt;")-SUMIFS(KAZO!$D:$D,KAZO!$C:$C,$A38,KAZO!$G:$G,"&lt;&gt;",KAZO!$F:$F,""))</f>
        <v/>
      </c>
      <c r="H38" s="5" t="str">
        <f>IF($A38="","",SUMIFS(LAFY!$D:$D,LAFY!$C:$C,$A38,LAFY!$F:$F,"&lt;&gt;")-SUMIFS(LAFY!$D:$D,LAFY!$C:$C,$A38,LAFY!$G:$G,"&lt;&gt;",LAFY!$F:$F,""))</f>
        <v/>
      </c>
      <c r="I38" s="5" t="str">
        <f>IF($A38="","",SUMIFS('POINT زفتي (جديد)'!$D:$D,'POINT زفتي (جديد)'!$C:$C,$A38,'POINT زفتي (جديد)'!$F:$F,"&lt;&gt;")-SUMIFS('POINT زفتي (جديد)'!$D:$D,'POINT زفتي (جديد)'!$C:$C,$A38,'POINT زفتي (جديد)'!$G:$G,"&lt;&gt;",'POINT زفتي (جديد)'!$F:$F,""))</f>
        <v/>
      </c>
      <c r="J38" s="5" t="str">
        <f>IF($A38="","",SUMIFS('POINT سعد زغلول (قديم)'!$D:$D,'POINT سعد زغلول (قديم)'!$C:$C,$A38,'POINT سعد زغلول (قديم)'!$F:$F,"&lt;&gt;")-SUMIFS('POINT سعد زغلول (قديم)'!$D:$D,'POINT سعد زغلول (قديم)'!$C:$C,$A38,'POINT سعد زغلول (قديم)'!$G:$G,"&lt;&gt;",'POINT سعد زغلول (قديم)'!$F:$F,""))</f>
        <v/>
      </c>
      <c r="K38" s="5" t="str">
        <f>IF($A38="","",SUMIFS('POWER ارض النت'!$D:$D,'POWER ارض النت'!$C:$C,$A38,'POWER ارض النت'!$F:$F,"&lt;&gt;")-SUMIFS('POWER ارض النت'!$D:$D,'POWER ارض النت'!$C:$C,$A38,'POWER ارض النت'!$G:$G,"&lt;&gt;",'POWER ارض النت'!$F:$F,""))</f>
        <v/>
      </c>
      <c r="L38" s="5" t="str">
        <f>IF($A38="","",SUMIFS('POWER زفتي'!$D:$D,'POWER زفتي'!$C:$C,$A38,'POWER زفتي'!$F:$F,"&lt;&gt;")-SUMIFS('POWER زفتي'!$D:$D,'POWER زفتي'!$C:$C,$A38,'POWER زفتي'!$G:$G,"&lt;&gt;",'POWER زفتي'!$F:$F,""))</f>
        <v/>
      </c>
      <c r="M38" s="5" t="str">
        <f>IF($A38="","",SUMIFS('احمد المنوفي'!$D:$D,'احمد المنوفي'!$C:$C,$A38,'احمد المنوفي'!$F:$F,"&lt;&gt;")-SUMIFS('احمد المنوفي'!$D:$D,'احمد المنوفي'!$C:$C,$A38,'احمد المنوفي'!$G:$G,"&lt;&gt;",'احمد المنوفي'!$F:$F,""))</f>
        <v/>
      </c>
      <c r="N38" s="5" t="str">
        <f>IF($A38="","",SUMIFS(السفير!$D:$D,السفير!$C:$C,$A38,السفير!$F:$F,"&lt;&gt;")-SUMIFS(السفير!$D:$D,السفير!$C:$C,$A38,السفير!$G:$G,"&lt;&gt;",السفير!$F:$F,""))</f>
        <v/>
      </c>
      <c r="O38" s="5" t="str">
        <f>IF($A38="","",SUMIFS(العالمي!$D:$D,العالمي!$C:$C,$A38,العالمي!$F:$F,"&lt;&gt;")-SUMIFS(العالمي!$D:$D,العالمي!$C:$C,$A38,العالمي!$G:$G,"&lt;&gt;",العالمي!$F:$F,""))</f>
        <v/>
      </c>
      <c r="P38" s="5" t="str">
        <f>IF($A38="","",SUMIFS('باهي التركي'!$D:$D,'باهي التركي'!$C:$C,$A38,'باهي التركي'!$F:$F,"&lt;&gt;")-SUMIFS('باهي التركي'!$D:$D,'باهي التركي'!$C:$C,$A38,'باهي التركي'!$G:$G,"&lt;&gt;",'باهي التركي'!$F:$F,""))</f>
        <v/>
      </c>
      <c r="Q38" s="5" t="str">
        <f>IF($A38="","",SUMIFS('توتي دماص'!$D:$D,'توتي دماص'!$C:$C,$A38,'توتي دماص'!$F:$F,"&lt;&gt;")-SUMIFS('توتي دماص'!$D:$D,'توتي دماص'!$C:$C,$A38,'توتي دماص'!$G:$G,"&lt;&gt;",'توتي دماص'!$F:$F,""))</f>
        <v/>
      </c>
      <c r="R38" s="5" t="str">
        <f>IF($A38="","",SUMIFS('رضا محمد'!$D:$D,'رضا محمد'!$C:$C,$A38,'رضا محمد'!$F:$F,"&lt;&gt;")-SUMIFS('رضا محمد'!$D:$D,'رضا محمد'!$C:$C,$A38,'رضا محمد'!$G:$G,"&lt;&gt;",'رضا محمد'!$F:$F,""))</f>
        <v/>
      </c>
      <c r="S38" s="5" t="str">
        <f>IF($A38="","",SUMIFS('زومبي العشري'!$D:$D,'زومبي العشري'!$C:$C,$A38,'زومبي العشري'!$F:$F,"&lt;&gt;")-SUMIFS('زومبي العشري'!$D:$D,'زومبي العشري'!$C:$C,$A38,'زومبي العشري'!$G:$G,"&lt;&gt;",'زومبي العشري'!$F:$F,""))</f>
        <v/>
      </c>
      <c r="T38" s="5" t="str">
        <f>IF($A38="","",SUMIFS('محمد عرابي'!$D:$D,'محمد عرابي'!$C:$C,$A38,'محمد عرابي'!$F:$F,"&lt;&gt;")-SUMIFS('محمد عرابي'!$D:$D,'محمد عرابي'!$C:$C,$A38,'محمد عرابي'!$G:$G,"&lt;&gt;",'محمد عرابي'!$F:$F,""))</f>
        <v/>
      </c>
      <c r="U38" s="5" t="str">
        <f>IF($A38="","",SUMIFS('عم جمال'!$D:$D,'عم جمال'!$C:$C,$A38,'عم جمال'!$F:$F,"&lt;&gt;")-SUMIFS('عم جمال'!$D:$D,'عم جمال'!$C:$C,$A38,'عم جمال'!$G:$G,"&lt;&gt;",'عم جمال'!$F:$F,""))</f>
        <v/>
      </c>
      <c r="V38" s="5" t="str">
        <f>IF($A38="","",SUMIFS('فاير سيليكت'!$D:$D,'فاير سيليكت'!$C:$C,$A38,'فاير سيليكت'!$F:$F,"&lt;&gt;")-SUMIFS('فاير سيليكت'!$D:$D,'فاير سيليكت'!$C:$C,$A38,'فاير سيليكت'!$G:$G,"&lt;&gt;",'فاير سيليكت'!$F:$F,""))</f>
        <v/>
      </c>
      <c r="W38" s="5" t="str">
        <f>IF($A38="","",SUMIFS(فرانكو!$D:$D,فرانكو!$C:$C,$A38,فرانكو!$F:$F,"&lt;&gt;")-SUMIFS(فرانكو!$D:$D,فرانكو!$C:$C,$A38,فرانكو!$G:$G,"&lt;&gt;",فرانكو!$F:$F,""))</f>
        <v/>
      </c>
      <c r="X38" s="5" t="str">
        <f>IF($A38="","",SUMIFS('كريم بكر'!$D:$D,'كريم بكر'!$C:$C,$A38,'كريم بكر'!$F:$F,"&lt;&gt;")-SUMIFS('كريم بكر'!$D:$D,'كريم بكر'!$C:$C,$A38,'كريم بكر'!$G:$G,"&lt;&gt;",'كريم بكر'!$F:$F,""))</f>
        <v/>
      </c>
      <c r="Y38" s="5" t="str">
        <f>IF($A38="","",SUMIFS(بفرا!$D:$D,بفرا!$C:$C,$A38,بفرا!$F:$F,"&lt;&gt;")-SUMIFS(بفرا!$D:$D,بفرا!$C:$C,$A38,بفرا!$G:$G,"&lt;&gt;",بفرا!$F:$F,""))</f>
        <v/>
      </c>
      <c r="Z38" s="5" t="str">
        <f>IF($A38="","",SUMIFS('محل كوم النور'!$D:$D,'محل كوم النور'!$C:$C,$A38,'محل كوم النور'!$F:$F,"&lt;&gt;")-SUMIFS('محل كوم النور'!$D:$D,'محل كوم النور'!$C:$C,$A38,'محل كوم النور'!$G:$G,"&lt;&gt;",'محل كوم النور'!$F:$F,""))</f>
        <v/>
      </c>
      <c r="AA38" s="5" t="str">
        <f>IF($A38="","",SUMIFS('محمد النجار'!$D:$D,'محمد النجار'!$C:$C,$A38,'محمد النجار'!$F:$F,"&lt;&gt;")-SUMIFS('محمد النجار'!$D:$D,'محمد النجار'!$C:$C,$A38,'محمد النجار'!$G:$G,"&lt;&gt;",'محمد النجار'!$F:$F,""))</f>
        <v/>
      </c>
      <c r="AB38" s="5" t="str">
        <f>IF($A38="","",SUMIFS('محمود عبدالرسول'!$D:$D,'محمود عبدالرسول'!$C:$C,$A38,'محمود عبدالرسول'!$F:$F,"&lt;&gt;")-SUMIFS('محمود عبدالرسول'!$D:$D,'محمود عبدالرسول'!$C:$C,$A38,'محمود عبدالرسول'!$G:$G,"&lt;&gt;",'محمود عبدالرسول'!$F:$F,""))</f>
        <v/>
      </c>
      <c r="AC38" s="5" t="str">
        <f>IF($A38="","",SUMIFS('مول المصطفي'!$D:$D,'مول المصطفي'!$C:$C,$A38,'مول المصطفي'!$F:$F,"&lt;&gt;")-SUMIFS('مول المصطفي'!$D:$D,'مول المصطفي'!$C:$C,$A38,'مول المصطفي'!$G:$G,"&lt;&gt;",'مول المصطفي'!$F:$F,""))</f>
        <v/>
      </c>
      <c r="AD38" s="5" t="str">
        <f>IF($A38="","",SUMIFS(مصانع!$D:$D,مصانع!$C:$C,$A38,مصانع!$F:$F,"&lt;&gt;")-SUMIFS(مصانع!$D:$D,مصانع!$C:$C,$A38,مصانع!$G:$G,"&lt;&gt;",مصانع!$F:$F,""))</f>
        <v/>
      </c>
      <c r="AE38" s="6" t="str">
        <f t="shared" si="3"/>
        <v/>
      </c>
      <c r="AF38" s="7"/>
      <c r="AG38" s="8"/>
      <c r="AH38" s="9" t="str">
        <f t="shared" si="5"/>
        <v/>
      </c>
      <c r="AI38" s="8"/>
      <c r="AJ38" s="6" t="str">
        <f t="shared" si="4"/>
        <v/>
      </c>
    </row>
    <row r="39" spans="1:36">
      <c r="A39" s="4"/>
      <c r="B39" s="5" t="str">
        <f>IF($A39="","",SUMIFS('4K حموده'!$D:$D,'4K حموده'!$C:$C,$A39,'4K حموده'!$F:$F,"&lt;&gt;")-SUMIFS('4K حموده'!$D:$D,'4K حموده'!$C:$C,$A39,'4K حموده'!$G:$G,"&lt;&gt;",'4K حموده'!$F:$F,""))</f>
        <v/>
      </c>
      <c r="C39" s="5" t="str">
        <f>IF($A39="","",SUMIFS('مكتب القاضي'!$D:$D,'مكتب القاضي'!$C:$C,$A39,'مكتب القاضي'!$F:$F,"&lt;&gt;")-SUMIFS('مكتب القاضي'!$D:$D,'مكتب القاضي'!$C:$C,$A39,'مكتب القاضي'!$G:$G,"&lt;&gt;",'مكتب القاضي'!$F:$F,""))</f>
        <v/>
      </c>
      <c r="D39" s="5" t="str">
        <f>IF($A39="","",SUMIFS(الاتشو!$D:$D,الاتشو!$C:$C,$A39,الاتشو!$F:$F,"&lt;&gt;")-SUMIFS(الاتشو!$D:$D,الاتشو!$C:$C,$A39,الاتشو!$G:$G,"&lt;&gt;",الاتشو!$F:$F,""))</f>
        <v/>
      </c>
      <c r="E39" s="5" t="str">
        <f>IF($A39="","",SUMIFS('علاء بوم ارض النت'!$D:$D,'علاء بوم ارض النت'!$C:$C,$A39,'علاء بوم ارض النت'!$F:$F,"&lt;&gt;")-SUMIFS('علاء بوم ارض النت'!$D:$D,'علاء بوم ارض النت'!$C:$C,$A39,'علاء بوم ارض النت'!$G:$G,"&lt;&gt;",'علاء بوم ارض النت'!$F:$F,""))</f>
        <v/>
      </c>
      <c r="F39" s="5" t="str">
        <f>IF($A39="","",SUMIFS('كيمو ميت ابو خالد'!$D:$D,'كيمو ميت ابو خالد'!$C:$C,$A39,'كيمو ميت ابو خالد'!$F:$F,"&lt;&gt;")-SUMIFS('كيمو ميت ابو خالد'!$D:$D,'كيمو ميت ابو خالد'!$C:$C,$A39,'كيمو ميت ابو خالد'!$G:$G,"&lt;&gt;",'كيمو ميت ابو خالد'!$F:$F,""))</f>
        <v/>
      </c>
      <c r="G39" s="5" t="str">
        <f>IF($A39="","",SUMIFS(KAZO!$D:$D,KAZO!$C:$C,$A39,KAZO!$F:$F,"&lt;&gt;")-SUMIFS(KAZO!$D:$D,KAZO!$C:$C,$A39,KAZO!$G:$G,"&lt;&gt;",KAZO!$F:$F,""))</f>
        <v/>
      </c>
      <c r="H39" s="5" t="str">
        <f>IF($A39="","",SUMIFS(LAFY!$D:$D,LAFY!$C:$C,$A39,LAFY!$F:$F,"&lt;&gt;")-SUMIFS(LAFY!$D:$D,LAFY!$C:$C,$A39,LAFY!$G:$G,"&lt;&gt;",LAFY!$F:$F,""))</f>
        <v/>
      </c>
      <c r="I39" s="5" t="str">
        <f>IF($A39="","",SUMIFS('POINT زفتي (جديد)'!$D:$D,'POINT زفتي (جديد)'!$C:$C,$A39,'POINT زفتي (جديد)'!$F:$F,"&lt;&gt;")-SUMIFS('POINT زفتي (جديد)'!$D:$D,'POINT زفتي (جديد)'!$C:$C,$A39,'POINT زفتي (جديد)'!$G:$G,"&lt;&gt;",'POINT زفتي (جديد)'!$F:$F,""))</f>
        <v/>
      </c>
      <c r="J39" s="5" t="str">
        <f>IF($A39="","",SUMIFS('POINT سعد زغلول (قديم)'!$D:$D,'POINT سعد زغلول (قديم)'!$C:$C,$A39,'POINT سعد زغلول (قديم)'!$F:$F,"&lt;&gt;")-SUMIFS('POINT سعد زغلول (قديم)'!$D:$D,'POINT سعد زغلول (قديم)'!$C:$C,$A39,'POINT سعد زغلول (قديم)'!$G:$G,"&lt;&gt;",'POINT سعد زغلول (قديم)'!$F:$F,""))</f>
        <v/>
      </c>
      <c r="K39" s="5" t="str">
        <f>IF($A39="","",SUMIFS('POWER ارض النت'!$D:$D,'POWER ارض النت'!$C:$C,$A39,'POWER ارض النت'!$F:$F,"&lt;&gt;")-SUMIFS('POWER ارض النت'!$D:$D,'POWER ارض النت'!$C:$C,$A39,'POWER ارض النت'!$G:$G,"&lt;&gt;",'POWER ارض النت'!$F:$F,""))</f>
        <v/>
      </c>
      <c r="L39" s="5" t="str">
        <f>IF($A39="","",SUMIFS('POWER زفتي'!$D:$D,'POWER زفتي'!$C:$C,$A39,'POWER زفتي'!$F:$F,"&lt;&gt;")-SUMIFS('POWER زفتي'!$D:$D,'POWER زفتي'!$C:$C,$A39,'POWER زفتي'!$G:$G,"&lt;&gt;",'POWER زفتي'!$F:$F,""))</f>
        <v/>
      </c>
      <c r="M39" s="5" t="str">
        <f>IF($A39="","",SUMIFS('احمد المنوفي'!$D:$D,'احمد المنوفي'!$C:$C,$A39,'احمد المنوفي'!$F:$F,"&lt;&gt;")-SUMIFS('احمد المنوفي'!$D:$D,'احمد المنوفي'!$C:$C,$A39,'احمد المنوفي'!$G:$G,"&lt;&gt;",'احمد المنوفي'!$F:$F,""))</f>
        <v/>
      </c>
      <c r="N39" s="5" t="str">
        <f>IF($A39="","",SUMIFS(السفير!$D:$D,السفير!$C:$C,$A39,السفير!$F:$F,"&lt;&gt;")-SUMIFS(السفير!$D:$D,السفير!$C:$C,$A39,السفير!$G:$G,"&lt;&gt;",السفير!$F:$F,""))</f>
        <v/>
      </c>
      <c r="O39" s="5" t="str">
        <f>IF($A39="","",SUMIFS(العالمي!$D:$D,العالمي!$C:$C,$A39,العالمي!$F:$F,"&lt;&gt;")-SUMIFS(العالمي!$D:$D,العالمي!$C:$C,$A39,العالمي!$G:$G,"&lt;&gt;",العالمي!$F:$F,""))</f>
        <v/>
      </c>
      <c r="P39" s="5" t="str">
        <f>IF($A39="","",SUMIFS('باهي التركي'!$D:$D,'باهي التركي'!$C:$C,$A39,'باهي التركي'!$F:$F,"&lt;&gt;")-SUMIFS('باهي التركي'!$D:$D,'باهي التركي'!$C:$C,$A39,'باهي التركي'!$G:$G,"&lt;&gt;",'باهي التركي'!$F:$F,""))</f>
        <v/>
      </c>
      <c r="Q39" s="5" t="str">
        <f>IF($A39="","",SUMIFS('توتي دماص'!$D:$D,'توتي دماص'!$C:$C,$A39,'توتي دماص'!$F:$F,"&lt;&gt;")-SUMIFS('توتي دماص'!$D:$D,'توتي دماص'!$C:$C,$A39,'توتي دماص'!$G:$G,"&lt;&gt;",'توتي دماص'!$F:$F,""))</f>
        <v/>
      </c>
      <c r="R39" s="5" t="str">
        <f>IF($A39="","",SUMIFS('رضا محمد'!$D:$D,'رضا محمد'!$C:$C,$A39,'رضا محمد'!$F:$F,"&lt;&gt;")-SUMIFS('رضا محمد'!$D:$D,'رضا محمد'!$C:$C,$A39,'رضا محمد'!$G:$G,"&lt;&gt;",'رضا محمد'!$F:$F,""))</f>
        <v/>
      </c>
      <c r="S39" s="5" t="str">
        <f>IF($A39="","",SUMIFS('زومبي العشري'!$D:$D,'زومبي العشري'!$C:$C,$A39,'زومبي العشري'!$F:$F,"&lt;&gt;")-SUMIFS('زومبي العشري'!$D:$D,'زومبي العشري'!$C:$C,$A39,'زومبي العشري'!$G:$G,"&lt;&gt;",'زومبي العشري'!$F:$F,""))</f>
        <v/>
      </c>
      <c r="T39" s="5" t="str">
        <f>IF($A39="","",SUMIFS('محمد عرابي'!$D:$D,'محمد عرابي'!$C:$C,$A39,'محمد عرابي'!$F:$F,"&lt;&gt;")-SUMIFS('محمد عرابي'!$D:$D,'محمد عرابي'!$C:$C,$A39,'محمد عرابي'!$G:$G,"&lt;&gt;",'محمد عرابي'!$F:$F,""))</f>
        <v/>
      </c>
      <c r="U39" s="5" t="str">
        <f>IF($A39="","",SUMIFS('عم جمال'!$D:$D,'عم جمال'!$C:$C,$A39,'عم جمال'!$F:$F,"&lt;&gt;")-SUMIFS('عم جمال'!$D:$D,'عم جمال'!$C:$C,$A39,'عم جمال'!$G:$G,"&lt;&gt;",'عم جمال'!$F:$F,""))</f>
        <v/>
      </c>
      <c r="V39" s="5" t="str">
        <f>IF($A39="","",SUMIFS('فاير سيليكت'!$D:$D,'فاير سيليكت'!$C:$C,$A39,'فاير سيليكت'!$F:$F,"&lt;&gt;")-SUMIFS('فاير سيليكت'!$D:$D,'فاير سيليكت'!$C:$C,$A39,'فاير سيليكت'!$G:$G,"&lt;&gt;",'فاير سيليكت'!$F:$F,""))</f>
        <v/>
      </c>
      <c r="W39" s="5" t="str">
        <f>IF($A39="","",SUMIFS(فرانكو!$D:$D,فرانكو!$C:$C,$A39,فرانكو!$F:$F,"&lt;&gt;")-SUMIFS(فرانكو!$D:$D,فرانكو!$C:$C,$A39,فرانكو!$G:$G,"&lt;&gt;",فرانكو!$F:$F,""))</f>
        <v/>
      </c>
      <c r="X39" s="5" t="str">
        <f>IF($A39="","",SUMIFS('كريم بكر'!$D:$D,'كريم بكر'!$C:$C,$A39,'كريم بكر'!$F:$F,"&lt;&gt;")-SUMIFS('كريم بكر'!$D:$D,'كريم بكر'!$C:$C,$A39,'كريم بكر'!$G:$G,"&lt;&gt;",'كريم بكر'!$F:$F,""))</f>
        <v/>
      </c>
      <c r="Y39" s="5" t="str">
        <f>IF($A39="","",SUMIFS(بفرا!$D:$D,بفرا!$C:$C,$A39,بفرا!$F:$F,"&lt;&gt;")-SUMIFS(بفرا!$D:$D,بفرا!$C:$C,$A39,بفرا!$G:$G,"&lt;&gt;",بفرا!$F:$F,""))</f>
        <v/>
      </c>
      <c r="Z39" s="5" t="str">
        <f>IF($A39="","",SUMIFS('محل كوم النور'!$D:$D,'محل كوم النور'!$C:$C,$A39,'محل كوم النور'!$F:$F,"&lt;&gt;")-SUMIFS('محل كوم النور'!$D:$D,'محل كوم النور'!$C:$C,$A39,'محل كوم النور'!$G:$G,"&lt;&gt;",'محل كوم النور'!$F:$F,""))</f>
        <v/>
      </c>
      <c r="AA39" s="5" t="str">
        <f>IF($A39="","",SUMIFS('محمد النجار'!$D:$D,'محمد النجار'!$C:$C,$A39,'محمد النجار'!$F:$F,"&lt;&gt;")-SUMIFS('محمد النجار'!$D:$D,'محمد النجار'!$C:$C,$A39,'محمد النجار'!$G:$G,"&lt;&gt;",'محمد النجار'!$F:$F,""))</f>
        <v/>
      </c>
      <c r="AB39" s="5" t="str">
        <f>IF($A39="","",SUMIFS('محمود عبدالرسول'!$D:$D,'محمود عبدالرسول'!$C:$C,$A39,'محمود عبدالرسول'!$F:$F,"&lt;&gt;")-SUMIFS('محمود عبدالرسول'!$D:$D,'محمود عبدالرسول'!$C:$C,$A39,'محمود عبدالرسول'!$G:$G,"&lt;&gt;",'محمود عبدالرسول'!$F:$F,""))</f>
        <v/>
      </c>
      <c r="AC39" s="5" t="str">
        <f>IF($A39="","",SUMIFS('مول المصطفي'!$D:$D,'مول المصطفي'!$C:$C,$A39,'مول المصطفي'!$F:$F,"&lt;&gt;")-SUMIFS('مول المصطفي'!$D:$D,'مول المصطفي'!$C:$C,$A39,'مول المصطفي'!$G:$G,"&lt;&gt;",'مول المصطفي'!$F:$F,""))</f>
        <v/>
      </c>
      <c r="AD39" s="5" t="str">
        <f>IF($A39="","",SUMIFS(مصانع!$D:$D,مصانع!$C:$C,$A39,مصانع!$F:$F,"&lt;&gt;")-SUMIFS(مصانع!$D:$D,مصانع!$C:$C,$A39,مصانع!$G:$G,"&lt;&gt;",مصانع!$F:$F,""))</f>
        <v/>
      </c>
      <c r="AE39" s="6" t="str">
        <f t="shared" si="3"/>
        <v/>
      </c>
      <c r="AF39" s="7"/>
      <c r="AG39" s="8"/>
      <c r="AH39" s="9" t="str">
        <f t="shared" si="5"/>
        <v/>
      </c>
      <c r="AI39" s="8"/>
      <c r="AJ39" s="6" t="str">
        <f t="shared" si="4"/>
        <v/>
      </c>
    </row>
    <row r="40" spans="1:36">
      <c r="A40" s="4"/>
      <c r="B40" s="5" t="str">
        <f>IF($A40="","",SUMIFS('4K حموده'!$D:$D,'4K حموده'!$C:$C,$A40,'4K حموده'!$F:$F,"&lt;&gt;")-SUMIFS('4K حموده'!$D:$D,'4K حموده'!$C:$C,$A40,'4K حموده'!$G:$G,"&lt;&gt;",'4K حموده'!$F:$F,""))</f>
        <v/>
      </c>
      <c r="C40" s="5" t="str">
        <f>IF($A40="","",SUMIFS('مكتب القاضي'!$D:$D,'مكتب القاضي'!$C:$C,$A40,'مكتب القاضي'!$F:$F,"&lt;&gt;")-SUMIFS('مكتب القاضي'!$D:$D,'مكتب القاضي'!$C:$C,$A40,'مكتب القاضي'!$G:$G,"&lt;&gt;",'مكتب القاضي'!$F:$F,""))</f>
        <v/>
      </c>
      <c r="D40" s="5" t="str">
        <f>IF($A40="","",SUMIFS(الاتشو!$D:$D,الاتشو!$C:$C,$A40,الاتشو!$F:$F,"&lt;&gt;")-SUMIFS(الاتشو!$D:$D,الاتشو!$C:$C,$A40,الاتشو!$G:$G,"&lt;&gt;",الاتشو!$F:$F,""))</f>
        <v/>
      </c>
      <c r="E40" s="5" t="str">
        <f>IF($A40="","",SUMIFS('علاء بوم ارض النت'!$D:$D,'علاء بوم ارض النت'!$C:$C,$A40,'علاء بوم ارض النت'!$F:$F,"&lt;&gt;")-SUMIFS('علاء بوم ارض النت'!$D:$D,'علاء بوم ارض النت'!$C:$C,$A40,'علاء بوم ارض النت'!$G:$G,"&lt;&gt;",'علاء بوم ارض النت'!$F:$F,""))</f>
        <v/>
      </c>
      <c r="F40" s="5" t="str">
        <f>IF($A40="","",SUMIFS('كيمو ميت ابو خالد'!$D:$D,'كيمو ميت ابو خالد'!$C:$C,$A40,'كيمو ميت ابو خالد'!$F:$F,"&lt;&gt;")-SUMIFS('كيمو ميت ابو خالد'!$D:$D,'كيمو ميت ابو خالد'!$C:$C,$A40,'كيمو ميت ابو خالد'!$G:$G,"&lt;&gt;",'كيمو ميت ابو خالد'!$F:$F,""))</f>
        <v/>
      </c>
      <c r="G40" s="5" t="str">
        <f>IF($A40="","",SUMIFS(KAZO!$D:$D,KAZO!$C:$C,$A40,KAZO!$F:$F,"&lt;&gt;")-SUMIFS(KAZO!$D:$D,KAZO!$C:$C,$A40,KAZO!$G:$G,"&lt;&gt;",KAZO!$F:$F,""))</f>
        <v/>
      </c>
      <c r="H40" s="5" t="str">
        <f>IF($A40="","",SUMIFS(LAFY!$D:$D,LAFY!$C:$C,$A40,LAFY!$F:$F,"&lt;&gt;")-SUMIFS(LAFY!$D:$D,LAFY!$C:$C,$A40,LAFY!$G:$G,"&lt;&gt;",LAFY!$F:$F,""))</f>
        <v/>
      </c>
      <c r="I40" s="5" t="str">
        <f>IF($A40="","",SUMIFS('POINT زفتي (جديد)'!$D:$D,'POINT زفتي (جديد)'!$C:$C,$A40,'POINT زفتي (جديد)'!$F:$F,"&lt;&gt;")-SUMIFS('POINT زفتي (جديد)'!$D:$D,'POINT زفتي (جديد)'!$C:$C,$A40,'POINT زفتي (جديد)'!$G:$G,"&lt;&gt;",'POINT زفتي (جديد)'!$F:$F,""))</f>
        <v/>
      </c>
      <c r="J40" s="5" t="str">
        <f>IF($A40="","",SUMIFS('POINT سعد زغلول (قديم)'!$D:$D,'POINT سعد زغلول (قديم)'!$C:$C,$A40,'POINT سعد زغلول (قديم)'!$F:$F,"&lt;&gt;")-SUMIFS('POINT سعد زغلول (قديم)'!$D:$D,'POINT سعد زغلول (قديم)'!$C:$C,$A40,'POINT سعد زغلول (قديم)'!$G:$G,"&lt;&gt;",'POINT سعد زغلول (قديم)'!$F:$F,""))</f>
        <v/>
      </c>
      <c r="K40" s="5" t="str">
        <f>IF($A40="","",SUMIFS('POWER ارض النت'!$D:$D,'POWER ارض النت'!$C:$C,$A40,'POWER ارض النت'!$F:$F,"&lt;&gt;")-SUMIFS('POWER ارض النت'!$D:$D,'POWER ارض النت'!$C:$C,$A40,'POWER ارض النت'!$G:$G,"&lt;&gt;",'POWER ارض النت'!$F:$F,""))</f>
        <v/>
      </c>
      <c r="L40" s="5" t="str">
        <f>IF($A40="","",SUMIFS('POWER زفتي'!$D:$D,'POWER زفتي'!$C:$C,$A40,'POWER زفتي'!$F:$F,"&lt;&gt;")-SUMIFS('POWER زفتي'!$D:$D,'POWER زفتي'!$C:$C,$A40,'POWER زفتي'!$G:$G,"&lt;&gt;",'POWER زفتي'!$F:$F,""))</f>
        <v/>
      </c>
      <c r="M40" s="5" t="str">
        <f>IF($A40="","",SUMIFS('احمد المنوفي'!$D:$D,'احمد المنوفي'!$C:$C,$A40,'احمد المنوفي'!$F:$F,"&lt;&gt;")-SUMIFS('احمد المنوفي'!$D:$D,'احمد المنوفي'!$C:$C,$A40,'احمد المنوفي'!$G:$G,"&lt;&gt;",'احمد المنوفي'!$F:$F,""))</f>
        <v/>
      </c>
      <c r="N40" s="5" t="str">
        <f>IF($A40="","",SUMIFS(السفير!$D:$D,السفير!$C:$C,$A40,السفير!$F:$F,"&lt;&gt;")-SUMIFS(السفير!$D:$D,السفير!$C:$C,$A40,السفير!$G:$G,"&lt;&gt;",السفير!$F:$F,""))</f>
        <v/>
      </c>
      <c r="O40" s="5" t="str">
        <f>IF($A40="","",SUMIFS(العالمي!$D:$D,العالمي!$C:$C,$A40,العالمي!$F:$F,"&lt;&gt;")-SUMIFS(العالمي!$D:$D,العالمي!$C:$C,$A40,العالمي!$G:$G,"&lt;&gt;",العالمي!$F:$F,""))</f>
        <v/>
      </c>
      <c r="P40" s="5" t="str">
        <f>IF($A40="","",SUMIFS('باهي التركي'!$D:$D,'باهي التركي'!$C:$C,$A40,'باهي التركي'!$F:$F,"&lt;&gt;")-SUMIFS('باهي التركي'!$D:$D,'باهي التركي'!$C:$C,$A40,'باهي التركي'!$G:$G,"&lt;&gt;",'باهي التركي'!$F:$F,""))</f>
        <v/>
      </c>
      <c r="Q40" s="5" t="str">
        <f>IF($A40="","",SUMIFS('توتي دماص'!$D:$D,'توتي دماص'!$C:$C,$A40,'توتي دماص'!$F:$F,"&lt;&gt;")-SUMIFS('توتي دماص'!$D:$D,'توتي دماص'!$C:$C,$A40,'توتي دماص'!$G:$G,"&lt;&gt;",'توتي دماص'!$F:$F,""))</f>
        <v/>
      </c>
      <c r="R40" s="5" t="str">
        <f>IF($A40="","",SUMIFS('رضا محمد'!$D:$D,'رضا محمد'!$C:$C,$A40,'رضا محمد'!$F:$F,"&lt;&gt;")-SUMIFS('رضا محمد'!$D:$D,'رضا محمد'!$C:$C,$A40,'رضا محمد'!$G:$G,"&lt;&gt;",'رضا محمد'!$F:$F,""))</f>
        <v/>
      </c>
      <c r="S40" s="5" t="str">
        <f>IF($A40="","",SUMIFS('زومبي العشري'!$D:$D,'زومبي العشري'!$C:$C,$A40,'زومبي العشري'!$F:$F,"&lt;&gt;")-SUMIFS('زومبي العشري'!$D:$D,'زومبي العشري'!$C:$C,$A40,'زومبي العشري'!$G:$G,"&lt;&gt;",'زومبي العشري'!$F:$F,""))</f>
        <v/>
      </c>
      <c r="T40" s="5" t="str">
        <f>IF($A40="","",SUMIFS('محمد عرابي'!$D:$D,'محمد عرابي'!$C:$C,$A40,'محمد عرابي'!$F:$F,"&lt;&gt;")-SUMIFS('محمد عرابي'!$D:$D,'محمد عرابي'!$C:$C,$A40,'محمد عرابي'!$G:$G,"&lt;&gt;",'محمد عرابي'!$F:$F,""))</f>
        <v/>
      </c>
      <c r="U40" s="5" t="str">
        <f>IF($A40="","",SUMIFS('عم جمال'!$D:$D,'عم جمال'!$C:$C,$A40,'عم جمال'!$F:$F,"&lt;&gt;")-SUMIFS('عم جمال'!$D:$D,'عم جمال'!$C:$C,$A40,'عم جمال'!$G:$G,"&lt;&gt;",'عم جمال'!$F:$F,""))</f>
        <v/>
      </c>
      <c r="V40" s="5" t="str">
        <f>IF($A40="","",SUMIFS('فاير سيليكت'!$D:$D,'فاير سيليكت'!$C:$C,$A40,'فاير سيليكت'!$F:$F,"&lt;&gt;")-SUMIFS('فاير سيليكت'!$D:$D,'فاير سيليكت'!$C:$C,$A40,'فاير سيليكت'!$G:$G,"&lt;&gt;",'فاير سيليكت'!$F:$F,""))</f>
        <v/>
      </c>
      <c r="W40" s="5" t="str">
        <f>IF($A40="","",SUMIFS(فرانكو!$D:$D,فرانكو!$C:$C,$A40,فرانكو!$F:$F,"&lt;&gt;")-SUMIFS(فرانكو!$D:$D,فرانكو!$C:$C,$A40,فرانكو!$G:$G,"&lt;&gt;",فرانكو!$F:$F,""))</f>
        <v/>
      </c>
      <c r="X40" s="5" t="str">
        <f>IF($A40="","",SUMIFS('كريم بكر'!$D:$D,'كريم بكر'!$C:$C,$A40,'كريم بكر'!$F:$F,"&lt;&gt;")-SUMIFS('كريم بكر'!$D:$D,'كريم بكر'!$C:$C,$A40,'كريم بكر'!$G:$G,"&lt;&gt;",'كريم بكر'!$F:$F,""))</f>
        <v/>
      </c>
      <c r="Y40" s="5" t="str">
        <f>IF($A40="","",SUMIFS(بفرا!$D:$D,بفرا!$C:$C,$A40,بفرا!$F:$F,"&lt;&gt;")-SUMIFS(بفرا!$D:$D,بفرا!$C:$C,$A40,بفرا!$G:$G,"&lt;&gt;",بفرا!$F:$F,""))</f>
        <v/>
      </c>
      <c r="Z40" s="5" t="str">
        <f>IF($A40="","",SUMIFS('محل كوم النور'!$D:$D,'محل كوم النور'!$C:$C,$A40,'محل كوم النور'!$F:$F,"&lt;&gt;")-SUMIFS('محل كوم النور'!$D:$D,'محل كوم النور'!$C:$C,$A40,'محل كوم النور'!$G:$G,"&lt;&gt;",'محل كوم النور'!$F:$F,""))</f>
        <v/>
      </c>
      <c r="AA40" s="5" t="str">
        <f>IF($A40="","",SUMIFS('محمد النجار'!$D:$D,'محمد النجار'!$C:$C,$A40,'محمد النجار'!$F:$F,"&lt;&gt;")-SUMIFS('محمد النجار'!$D:$D,'محمد النجار'!$C:$C,$A40,'محمد النجار'!$G:$G,"&lt;&gt;",'محمد النجار'!$F:$F,""))</f>
        <v/>
      </c>
      <c r="AB40" s="5" t="str">
        <f>IF($A40="","",SUMIFS('محمود عبدالرسول'!$D:$D,'محمود عبدالرسول'!$C:$C,$A40,'محمود عبدالرسول'!$F:$F,"&lt;&gt;")-SUMIFS('محمود عبدالرسول'!$D:$D,'محمود عبدالرسول'!$C:$C,$A40,'محمود عبدالرسول'!$G:$G,"&lt;&gt;",'محمود عبدالرسول'!$F:$F,""))</f>
        <v/>
      </c>
      <c r="AC40" s="5" t="str">
        <f>IF($A40="","",SUMIFS('مول المصطفي'!$D:$D,'مول المصطفي'!$C:$C,$A40,'مول المصطفي'!$F:$F,"&lt;&gt;")-SUMIFS('مول المصطفي'!$D:$D,'مول المصطفي'!$C:$C,$A40,'مول المصطفي'!$G:$G,"&lt;&gt;",'مول المصطفي'!$F:$F,""))</f>
        <v/>
      </c>
      <c r="AD40" s="5" t="str">
        <f>IF($A40="","",SUMIFS(مصانع!$D:$D,مصانع!$C:$C,$A40,مصانع!$F:$F,"&lt;&gt;")-SUMIFS(مصانع!$D:$D,مصانع!$C:$C,$A40,مصانع!$G:$G,"&lt;&gt;",مصانع!$F:$F,""))</f>
        <v/>
      </c>
      <c r="AE40" s="6" t="str">
        <f t="shared" si="3"/>
        <v/>
      </c>
      <c r="AF40" s="7"/>
      <c r="AG40" s="8"/>
      <c r="AH40" s="9" t="str">
        <f t="shared" si="5"/>
        <v/>
      </c>
      <c r="AI40" s="8"/>
      <c r="AJ40" s="6" t="str">
        <f t="shared" si="4"/>
        <v/>
      </c>
    </row>
    <row r="41" spans="1:36">
      <c r="A41" s="4"/>
      <c r="B41" s="5" t="str">
        <f>IF($A41="","",SUMIFS('4K حموده'!$D:$D,'4K حموده'!$C:$C,$A41,'4K حموده'!$F:$F,"&lt;&gt;")-SUMIFS('4K حموده'!$D:$D,'4K حموده'!$C:$C,$A41,'4K حموده'!$G:$G,"&lt;&gt;",'4K حموده'!$F:$F,""))</f>
        <v/>
      </c>
      <c r="C41" s="5" t="str">
        <f>IF($A41="","",SUMIFS('مكتب القاضي'!$D:$D,'مكتب القاضي'!$C:$C,$A41,'مكتب القاضي'!$F:$F,"&lt;&gt;")-SUMIFS('مكتب القاضي'!$D:$D,'مكتب القاضي'!$C:$C,$A41,'مكتب القاضي'!$G:$G,"&lt;&gt;",'مكتب القاضي'!$F:$F,""))</f>
        <v/>
      </c>
      <c r="D41" s="5" t="str">
        <f>IF($A41="","",SUMIFS(الاتشو!$D:$D,الاتشو!$C:$C,$A41,الاتشو!$F:$F,"&lt;&gt;")-SUMIFS(الاتشو!$D:$D,الاتشو!$C:$C,$A41,الاتشو!$G:$G,"&lt;&gt;",الاتشو!$F:$F,""))</f>
        <v/>
      </c>
      <c r="E41" s="5" t="str">
        <f>IF($A41="","",SUMIFS('علاء بوم ارض النت'!$D:$D,'علاء بوم ارض النت'!$C:$C,$A41,'علاء بوم ارض النت'!$F:$F,"&lt;&gt;")-SUMIFS('علاء بوم ارض النت'!$D:$D,'علاء بوم ارض النت'!$C:$C,$A41,'علاء بوم ارض النت'!$G:$G,"&lt;&gt;",'علاء بوم ارض النت'!$F:$F,""))</f>
        <v/>
      </c>
      <c r="F41" s="5" t="str">
        <f>IF($A41="","",SUMIFS('كيمو ميت ابو خالد'!$D:$D,'كيمو ميت ابو خالد'!$C:$C,$A41,'كيمو ميت ابو خالد'!$F:$F,"&lt;&gt;")-SUMIFS('كيمو ميت ابو خالد'!$D:$D,'كيمو ميت ابو خالد'!$C:$C,$A41,'كيمو ميت ابو خالد'!$G:$G,"&lt;&gt;",'كيمو ميت ابو خالد'!$F:$F,""))</f>
        <v/>
      </c>
      <c r="G41" s="5" t="str">
        <f>IF($A41="","",SUMIFS(KAZO!$D:$D,KAZO!$C:$C,$A41,KAZO!$F:$F,"&lt;&gt;")-SUMIFS(KAZO!$D:$D,KAZO!$C:$C,$A41,KAZO!$G:$G,"&lt;&gt;",KAZO!$F:$F,""))</f>
        <v/>
      </c>
      <c r="H41" s="5" t="str">
        <f>IF($A41="","",SUMIFS(LAFY!$D:$D,LAFY!$C:$C,$A41,LAFY!$F:$F,"&lt;&gt;")-SUMIFS(LAFY!$D:$D,LAFY!$C:$C,$A41,LAFY!$G:$G,"&lt;&gt;",LAFY!$F:$F,""))</f>
        <v/>
      </c>
      <c r="I41" s="5" t="str">
        <f>IF($A41="","",SUMIFS('POINT زفتي (جديد)'!$D:$D,'POINT زفتي (جديد)'!$C:$C,$A41,'POINT زفتي (جديد)'!$F:$F,"&lt;&gt;")-SUMIFS('POINT زفتي (جديد)'!$D:$D,'POINT زفتي (جديد)'!$C:$C,$A41,'POINT زفتي (جديد)'!$G:$G,"&lt;&gt;",'POINT زفتي (جديد)'!$F:$F,""))</f>
        <v/>
      </c>
      <c r="J41" s="5" t="str">
        <f>IF($A41="","",SUMIFS('POINT سعد زغلول (قديم)'!$D:$D,'POINT سعد زغلول (قديم)'!$C:$C,$A41,'POINT سعد زغلول (قديم)'!$F:$F,"&lt;&gt;")-SUMIFS('POINT سعد زغلول (قديم)'!$D:$D,'POINT سعد زغلول (قديم)'!$C:$C,$A41,'POINT سعد زغلول (قديم)'!$G:$G,"&lt;&gt;",'POINT سعد زغلول (قديم)'!$F:$F,""))</f>
        <v/>
      </c>
      <c r="K41" s="5" t="str">
        <f>IF($A41="","",SUMIFS('POWER ارض النت'!$D:$D,'POWER ارض النت'!$C:$C,$A41,'POWER ارض النت'!$F:$F,"&lt;&gt;")-SUMIFS('POWER ارض النت'!$D:$D,'POWER ارض النت'!$C:$C,$A41,'POWER ارض النت'!$G:$G,"&lt;&gt;",'POWER ارض النت'!$F:$F,""))</f>
        <v/>
      </c>
      <c r="L41" s="5" t="str">
        <f>IF($A41="","",SUMIFS('POWER زفتي'!$D:$D,'POWER زفتي'!$C:$C,$A41,'POWER زفتي'!$F:$F,"&lt;&gt;")-SUMIFS('POWER زفتي'!$D:$D,'POWER زفتي'!$C:$C,$A41,'POWER زفتي'!$G:$G,"&lt;&gt;",'POWER زفتي'!$F:$F,""))</f>
        <v/>
      </c>
      <c r="M41" s="5" t="str">
        <f>IF($A41="","",SUMIFS('احمد المنوفي'!$D:$D,'احمد المنوفي'!$C:$C,$A41,'احمد المنوفي'!$F:$F,"&lt;&gt;")-SUMIFS('احمد المنوفي'!$D:$D,'احمد المنوفي'!$C:$C,$A41,'احمد المنوفي'!$G:$G,"&lt;&gt;",'احمد المنوفي'!$F:$F,""))</f>
        <v/>
      </c>
      <c r="N41" s="5" t="str">
        <f>IF($A41="","",SUMIFS(السفير!$D:$D,السفير!$C:$C,$A41,السفير!$F:$F,"&lt;&gt;")-SUMIFS(السفير!$D:$D,السفير!$C:$C,$A41,السفير!$G:$G,"&lt;&gt;",السفير!$F:$F,""))</f>
        <v/>
      </c>
      <c r="O41" s="5" t="str">
        <f>IF($A41="","",SUMIFS(العالمي!$D:$D,العالمي!$C:$C,$A41,العالمي!$F:$F,"&lt;&gt;")-SUMIFS(العالمي!$D:$D,العالمي!$C:$C,$A41,العالمي!$G:$G,"&lt;&gt;",العالمي!$F:$F,""))</f>
        <v/>
      </c>
      <c r="P41" s="5" t="str">
        <f>IF($A41="","",SUMIFS('باهي التركي'!$D:$D,'باهي التركي'!$C:$C,$A41,'باهي التركي'!$F:$F,"&lt;&gt;")-SUMIFS('باهي التركي'!$D:$D,'باهي التركي'!$C:$C,$A41,'باهي التركي'!$G:$G,"&lt;&gt;",'باهي التركي'!$F:$F,""))</f>
        <v/>
      </c>
      <c r="Q41" s="5" t="str">
        <f>IF($A41="","",SUMIFS('توتي دماص'!$D:$D,'توتي دماص'!$C:$C,$A41,'توتي دماص'!$F:$F,"&lt;&gt;")-SUMIFS('توتي دماص'!$D:$D,'توتي دماص'!$C:$C,$A41,'توتي دماص'!$G:$G,"&lt;&gt;",'توتي دماص'!$F:$F,""))</f>
        <v/>
      </c>
      <c r="R41" s="5" t="str">
        <f>IF($A41="","",SUMIFS('رضا محمد'!$D:$D,'رضا محمد'!$C:$C,$A41,'رضا محمد'!$F:$F,"&lt;&gt;")-SUMIFS('رضا محمد'!$D:$D,'رضا محمد'!$C:$C,$A41,'رضا محمد'!$G:$G,"&lt;&gt;",'رضا محمد'!$F:$F,""))</f>
        <v/>
      </c>
      <c r="S41" s="5" t="str">
        <f>IF($A41="","",SUMIFS('زومبي العشري'!$D:$D,'زومبي العشري'!$C:$C,$A41,'زومبي العشري'!$F:$F,"&lt;&gt;")-SUMIFS('زومبي العشري'!$D:$D,'زومبي العشري'!$C:$C,$A41,'زومبي العشري'!$G:$G,"&lt;&gt;",'زومبي العشري'!$F:$F,""))</f>
        <v/>
      </c>
      <c r="T41" s="5" t="str">
        <f>IF($A41="","",SUMIFS('محمد عرابي'!$D:$D,'محمد عرابي'!$C:$C,$A41,'محمد عرابي'!$F:$F,"&lt;&gt;")-SUMIFS('محمد عرابي'!$D:$D,'محمد عرابي'!$C:$C,$A41,'محمد عرابي'!$G:$G,"&lt;&gt;",'محمد عرابي'!$F:$F,""))</f>
        <v/>
      </c>
      <c r="U41" s="5" t="str">
        <f>IF($A41="","",SUMIFS('عم جمال'!$D:$D,'عم جمال'!$C:$C,$A41,'عم جمال'!$F:$F,"&lt;&gt;")-SUMIFS('عم جمال'!$D:$D,'عم جمال'!$C:$C,$A41,'عم جمال'!$G:$G,"&lt;&gt;",'عم جمال'!$F:$F,""))</f>
        <v/>
      </c>
      <c r="V41" s="5" t="str">
        <f>IF($A41="","",SUMIFS('فاير سيليكت'!$D:$D,'فاير سيليكت'!$C:$C,$A41,'فاير سيليكت'!$F:$F,"&lt;&gt;")-SUMIFS('فاير سيليكت'!$D:$D,'فاير سيليكت'!$C:$C,$A41,'فاير سيليكت'!$G:$G,"&lt;&gt;",'فاير سيليكت'!$F:$F,""))</f>
        <v/>
      </c>
      <c r="W41" s="5" t="str">
        <f>IF($A41="","",SUMIFS(فرانكو!$D:$D,فرانكو!$C:$C,$A41,فرانكو!$F:$F,"&lt;&gt;")-SUMIFS(فرانكو!$D:$D,فرانكو!$C:$C,$A41,فرانكو!$G:$G,"&lt;&gt;",فرانكو!$F:$F,""))</f>
        <v/>
      </c>
      <c r="X41" s="5" t="str">
        <f>IF($A41="","",SUMIFS('كريم بكر'!$D:$D,'كريم بكر'!$C:$C,$A41,'كريم بكر'!$F:$F,"&lt;&gt;")-SUMIFS('كريم بكر'!$D:$D,'كريم بكر'!$C:$C,$A41,'كريم بكر'!$G:$G,"&lt;&gt;",'كريم بكر'!$F:$F,""))</f>
        <v/>
      </c>
      <c r="Y41" s="5" t="str">
        <f>IF($A41="","",SUMIFS(بفرا!$D:$D,بفرا!$C:$C,$A41,بفرا!$F:$F,"&lt;&gt;")-SUMIFS(بفرا!$D:$D,بفرا!$C:$C,$A41,بفرا!$G:$G,"&lt;&gt;",بفرا!$F:$F,""))</f>
        <v/>
      </c>
      <c r="Z41" s="5" t="str">
        <f>IF($A41="","",SUMIFS('محل كوم النور'!$D:$D,'محل كوم النور'!$C:$C,$A41,'محل كوم النور'!$F:$F,"&lt;&gt;")-SUMIFS('محل كوم النور'!$D:$D,'محل كوم النور'!$C:$C,$A41,'محل كوم النور'!$G:$G,"&lt;&gt;",'محل كوم النور'!$F:$F,""))</f>
        <v/>
      </c>
      <c r="AA41" s="5" t="str">
        <f>IF($A41="","",SUMIFS('محمد النجار'!$D:$D,'محمد النجار'!$C:$C,$A41,'محمد النجار'!$F:$F,"&lt;&gt;")-SUMIFS('محمد النجار'!$D:$D,'محمد النجار'!$C:$C,$A41,'محمد النجار'!$G:$G,"&lt;&gt;",'محمد النجار'!$F:$F,""))</f>
        <v/>
      </c>
      <c r="AB41" s="5" t="str">
        <f>IF($A41="","",SUMIFS('محمود عبدالرسول'!$D:$D,'محمود عبدالرسول'!$C:$C,$A41,'محمود عبدالرسول'!$F:$F,"&lt;&gt;")-SUMIFS('محمود عبدالرسول'!$D:$D,'محمود عبدالرسول'!$C:$C,$A41,'محمود عبدالرسول'!$G:$G,"&lt;&gt;",'محمود عبدالرسول'!$F:$F,""))</f>
        <v/>
      </c>
      <c r="AC41" s="5" t="str">
        <f>IF($A41="","",SUMIFS('مول المصطفي'!$D:$D,'مول المصطفي'!$C:$C,$A41,'مول المصطفي'!$F:$F,"&lt;&gt;")-SUMIFS('مول المصطفي'!$D:$D,'مول المصطفي'!$C:$C,$A41,'مول المصطفي'!$G:$G,"&lt;&gt;",'مول المصطفي'!$F:$F,""))</f>
        <v/>
      </c>
      <c r="AD41" s="5" t="str">
        <f>IF($A41="","",SUMIFS(مصانع!$D:$D,مصانع!$C:$C,$A41,مصانع!$F:$F,"&lt;&gt;")-SUMIFS(مصانع!$D:$D,مصانع!$C:$C,$A41,مصانع!$G:$G,"&lt;&gt;",مصانع!$F:$F,""))</f>
        <v/>
      </c>
      <c r="AE41" s="6" t="str">
        <f t="shared" si="3"/>
        <v/>
      </c>
      <c r="AF41" s="7"/>
      <c r="AG41" s="8"/>
      <c r="AH41" s="9" t="str">
        <f t="shared" si="5"/>
        <v/>
      </c>
      <c r="AI41" s="8"/>
      <c r="AJ41" s="6" t="str">
        <f t="shared" si="4"/>
        <v/>
      </c>
    </row>
    <row r="42" spans="1:36">
      <c r="A42" s="4"/>
      <c r="B42" s="5" t="str">
        <f>IF($A42="","",SUMIFS('4K حموده'!$D:$D,'4K حموده'!$C:$C,$A42,'4K حموده'!$F:$F,"&lt;&gt;")-SUMIFS('4K حموده'!$D:$D,'4K حموده'!$C:$C,$A42,'4K حموده'!$G:$G,"&lt;&gt;",'4K حموده'!$F:$F,""))</f>
        <v/>
      </c>
      <c r="C42" s="5" t="str">
        <f>IF($A42="","",SUMIFS('مكتب القاضي'!$D:$D,'مكتب القاضي'!$C:$C,$A42,'مكتب القاضي'!$F:$F,"&lt;&gt;")-SUMIFS('مكتب القاضي'!$D:$D,'مكتب القاضي'!$C:$C,$A42,'مكتب القاضي'!$G:$G,"&lt;&gt;",'مكتب القاضي'!$F:$F,""))</f>
        <v/>
      </c>
      <c r="D42" s="5" t="str">
        <f>IF($A42="","",SUMIFS(الاتشو!$D:$D,الاتشو!$C:$C,$A42,الاتشو!$F:$F,"&lt;&gt;")-SUMIFS(الاتشو!$D:$D,الاتشو!$C:$C,$A42,الاتشو!$G:$G,"&lt;&gt;",الاتشو!$F:$F,""))</f>
        <v/>
      </c>
      <c r="E42" s="5" t="str">
        <f>IF($A42="","",SUMIFS('علاء بوم ارض النت'!$D:$D,'علاء بوم ارض النت'!$C:$C,$A42,'علاء بوم ارض النت'!$F:$F,"&lt;&gt;")-SUMIFS('علاء بوم ارض النت'!$D:$D,'علاء بوم ارض النت'!$C:$C,$A42,'علاء بوم ارض النت'!$G:$G,"&lt;&gt;",'علاء بوم ارض النت'!$F:$F,""))</f>
        <v/>
      </c>
      <c r="F42" s="5" t="str">
        <f>IF($A42="","",SUMIFS('كيمو ميت ابو خالد'!$D:$D,'كيمو ميت ابو خالد'!$C:$C,$A42,'كيمو ميت ابو خالد'!$F:$F,"&lt;&gt;")-SUMIFS('كيمو ميت ابو خالد'!$D:$D,'كيمو ميت ابو خالد'!$C:$C,$A42,'كيمو ميت ابو خالد'!$G:$G,"&lt;&gt;",'كيمو ميت ابو خالد'!$F:$F,""))</f>
        <v/>
      </c>
      <c r="G42" s="5" t="str">
        <f>IF($A42="","",SUMIFS(KAZO!$D:$D,KAZO!$C:$C,$A42,KAZO!$F:$F,"&lt;&gt;")-SUMIFS(KAZO!$D:$D,KAZO!$C:$C,$A42,KAZO!$G:$G,"&lt;&gt;",KAZO!$F:$F,""))</f>
        <v/>
      </c>
      <c r="H42" s="5" t="str">
        <f>IF($A42="","",SUMIFS(LAFY!$D:$D,LAFY!$C:$C,$A42,LAFY!$F:$F,"&lt;&gt;")-SUMIFS(LAFY!$D:$D,LAFY!$C:$C,$A42,LAFY!$G:$G,"&lt;&gt;",LAFY!$F:$F,""))</f>
        <v/>
      </c>
      <c r="I42" s="5" t="str">
        <f>IF($A42="","",SUMIFS('POINT زفتي (جديد)'!$D:$D,'POINT زفتي (جديد)'!$C:$C,$A42,'POINT زفتي (جديد)'!$F:$F,"&lt;&gt;")-SUMIFS('POINT زفتي (جديد)'!$D:$D,'POINT زفتي (جديد)'!$C:$C,$A42,'POINT زفتي (جديد)'!$G:$G,"&lt;&gt;",'POINT زفتي (جديد)'!$F:$F,""))</f>
        <v/>
      </c>
      <c r="J42" s="5" t="str">
        <f>IF($A42="","",SUMIFS('POINT سعد زغلول (قديم)'!$D:$D,'POINT سعد زغلول (قديم)'!$C:$C,$A42,'POINT سعد زغلول (قديم)'!$F:$F,"&lt;&gt;")-SUMIFS('POINT سعد زغلول (قديم)'!$D:$D,'POINT سعد زغلول (قديم)'!$C:$C,$A42,'POINT سعد زغلول (قديم)'!$G:$G,"&lt;&gt;",'POINT سعد زغلول (قديم)'!$F:$F,""))</f>
        <v/>
      </c>
      <c r="K42" s="5" t="str">
        <f>IF($A42="","",SUMIFS('POWER ارض النت'!$D:$D,'POWER ارض النت'!$C:$C,$A42,'POWER ارض النت'!$F:$F,"&lt;&gt;")-SUMIFS('POWER ارض النت'!$D:$D,'POWER ارض النت'!$C:$C,$A42,'POWER ارض النت'!$G:$G,"&lt;&gt;",'POWER ارض النت'!$F:$F,""))</f>
        <v/>
      </c>
      <c r="L42" s="5" t="str">
        <f>IF($A42="","",SUMIFS('POWER زفتي'!$D:$D,'POWER زفتي'!$C:$C,$A42,'POWER زفتي'!$F:$F,"&lt;&gt;")-SUMIFS('POWER زفتي'!$D:$D,'POWER زفتي'!$C:$C,$A42,'POWER زفتي'!$G:$G,"&lt;&gt;",'POWER زفتي'!$F:$F,""))</f>
        <v/>
      </c>
      <c r="M42" s="5" t="str">
        <f>IF($A42="","",SUMIFS('احمد المنوفي'!$D:$D,'احمد المنوفي'!$C:$C,$A42,'احمد المنوفي'!$F:$F,"&lt;&gt;")-SUMIFS('احمد المنوفي'!$D:$D,'احمد المنوفي'!$C:$C,$A42,'احمد المنوفي'!$G:$G,"&lt;&gt;",'احمد المنوفي'!$F:$F,""))</f>
        <v/>
      </c>
      <c r="N42" s="5" t="str">
        <f>IF($A42="","",SUMIFS(السفير!$D:$D,السفير!$C:$C,$A42,السفير!$F:$F,"&lt;&gt;")-SUMIFS(السفير!$D:$D,السفير!$C:$C,$A42,السفير!$G:$G,"&lt;&gt;",السفير!$F:$F,""))</f>
        <v/>
      </c>
      <c r="O42" s="5" t="str">
        <f>IF($A42="","",SUMIFS(العالمي!$D:$D,العالمي!$C:$C,$A42,العالمي!$F:$F,"&lt;&gt;")-SUMIFS(العالمي!$D:$D,العالمي!$C:$C,$A42,العالمي!$G:$G,"&lt;&gt;",العالمي!$F:$F,""))</f>
        <v/>
      </c>
      <c r="P42" s="5" t="str">
        <f>IF($A42="","",SUMIFS('باهي التركي'!$D:$D,'باهي التركي'!$C:$C,$A42,'باهي التركي'!$F:$F,"&lt;&gt;")-SUMIFS('باهي التركي'!$D:$D,'باهي التركي'!$C:$C,$A42,'باهي التركي'!$G:$G,"&lt;&gt;",'باهي التركي'!$F:$F,""))</f>
        <v/>
      </c>
      <c r="Q42" s="5" t="str">
        <f>IF($A42="","",SUMIFS('توتي دماص'!$D:$D,'توتي دماص'!$C:$C,$A42,'توتي دماص'!$F:$F,"&lt;&gt;")-SUMIFS('توتي دماص'!$D:$D,'توتي دماص'!$C:$C,$A42,'توتي دماص'!$G:$G,"&lt;&gt;",'توتي دماص'!$F:$F,""))</f>
        <v/>
      </c>
      <c r="R42" s="5" t="str">
        <f>IF($A42="","",SUMIFS('رضا محمد'!$D:$D,'رضا محمد'!$C:$C,$A42,'رضا محمد'!$F:$F,"&lt;&gt;")-SUMIFS('رضا محمد'!$D:$D,'رضا محمد'!$C:$C,$A42,'رضا محمد'!$G:$G,"&lt;&gt;",'رضا محمد'!$F:$F,""))</f>
        <v/>
      </c>
      <c r="S42" s="5" t="str">
        <f>IF($A42="","",SUMIFS('زومبي العشري'!$D:$D,'زومبي العشري'!$C:$C,$A42,'زومبي العشري'!$F:$F,"&lt;&gt;")-SUMIFS('زومبي العشري'!$D:$D,'زومبي العشري'!$C:$C,$A42,'زومبي العشري'!$G:$G,"&lt;&gt;",'زومبي العشري'!$F:$F,""))</f>
        <v/>
      </c>
      <c r="T42" s="5" t="str">
        <f>IF($A42="","",SUMIFS('محمد عرابي'!$D:$D,'محمد عرابي'!$C:$C,$A42,'محمد عرابي'!$F:$F,"&lt;&gt;")-SUMIFS('محمد عرابي'!$D:$D,'محمد عرابي'!$C:$C,$A42,'محمد عرابي'!$G:$G,"&lt;&gt;",'محمد عرابي'!$F:$F,""))</f>
        <v/>
      </c>
      <c r="U42" s="5" t="str">
        <f>IF($A42="","",SUMIFS('عم جمال'!$D:$D,'عم جمال'!$C:$C,$A42,'عم جمال'!$F:$F,"&lt;&gt;")-SUMIFS('عم جمال'!$D:$D,'عم جمال'!$C:$C,$A42,'عم جمال'!$G:$G,"&lt;&gt;",'عم جمال'!$F:$F,""))</f>
        <v/>
      </c>
      <c r="V42" s="5" t="str">
        <f>IF($A42="","",SUMIFS('فاير سيليكت'!$D:$D,'فاير سيليكت'!$C:$C,$A42,'فاير سيليكت'!$F:$F,"&lt;&gt;")-SUMIFS('فاير سيليكت'!$D:$D,'فاير سيليكت'!$C:$C,$A42,'فاير سيليكت'!$G:$G,"&lt;&gt;",'فاير سيليكت'!$F:$F,""))</f>
        <v/>
      </c>
      <c r="W42" s="5" t="str">
        <f>IF($A42="","",SUMIFS(فرانكو!$D:$D,فرانكو!$C:$C,$A42,فرانكو!$F:$F,"&lt;&gt;")-SUMIFS(فرانكو!$D:$D,فرانكو!$C:$C,$A42,فرانكو!$G:$G,"&lt;&gt;",فرانكو!$F:$F,""))</f>
        <v/>
      </c>
      <c r="X42" s="5" t="str">
        <f>IF($A42="","",SUMIFS('كريم بكر'!$D:$D,'كريم بكر'!$C:$C,$A42,'كريم بكر'!$F:$F,"&lt;&gt;")-SUMIFS('كريم بكر'!$D:$D,'كريم بكر'!$C:$C,$A42,'كريم بكر'!$G:$G,"&lt;&gt;",'كريم بكر'!$F:$F,""))</f>
        <v/>
      </c>
      <c r="Y42" s="5" t="str">
        <f>IF($A42="","",SUMIFS(بفرا!$D:$D,بفرا!$C:$C,$A42,بفرا!$F:$F,"&lt;&gt;")-SUMIFS(بفرا!$D:$D,بفرا!$C:$C,$A42,بفرا!$G:$G,"&lt;&gt;",بفرا!$F:$F,""))</f>
        <v/>
      </c>
      <c r="Z42" s="5" t="str">
        <f>IF($A42="","",SUMIFS('محل كوم النور'!$D:$D,'محل كوم النور'!$C:$C,$A42,'محل كوم النور'!$F:$F,"&lt;&gt;")-SUMIFS('محل كوم النور'!$D:$D,'محل كوم النور'!$C:$C,$A42,'محل كوم النور'!$G:$G,"&lt;&gt;",'محل كوم النور'!$F:$F,""))</f>
        <v/>
      </c>
      <c r="AA42" s="5" t="str">
        <f>IF($A42="","",SUMIFS('محمد النجار'!$D:$D,'محمد النجار'!$C:$C,$A42,'محمد النجار'!$F:$F,"&lt;&gt;")-SUMIFS('محمد النجار'!$D:$D,'محمد النجار'!$C:$C,$A42,'محمد النجار'!$G:$G,"&lt;&gt;",'محمد النجار'!$F:$F,""))</f>
        <v/>
      </c>
      <c r="AB42" s="5" t="str">
        <f>IF($A42="","",SUMIFS('محمود عبدالرسول'!$D:$D,'محمود عبدالرسول'!$C:$C,$A42,'محمود عبدالرسول'!$F:$F,"&lt;&gt;")-SUMIFS('محمود عبدالرسول'!$D:$D,'محمود عبدالرسول'!$C:$C,$A42,'محمود عبدالرسول'!$G:$G,"&lt;&gt;",'محمود عبدالرسول'!$F:$F,""))</f>
        <v/>
      </c>
      <c r="AC42" s="5" t="str">
        <f>IF($A42="","",SUMIFS('مول المصطفي'!$D:$D,'مول المصطفي'!$C:$C,$A42,'مول المصطفي'!$F:$F,"&lt;&gt;")-SUMIFS('مول المصطفي'!$D:$D,'مول المصطفي'!$C:$C,$A42,'مول المصطفي'!$G:$G,"&lt;&gt;",'مول المصطفي'!$F:$F,""))</f>
        <v/>
      </c>
      <c r="AD42" s="5" t="str">
        <f>IF($A42="","",SUMIFS(مصانع!$D:$D,مصانع!$C:$C,$A42,مصانع!$F:$F,"&lt;&gt;")-SUMIFS(مصانع!$D:$D,مصانع!$C:$C,$A42,مصانع!$G:$G,"&lt;&gt;",مصانع!$F:$F,""))</f>
        <v/>
      </c>
      <c r="AE42" s="6" t="str">
        <f t="shared" si="3"/>
        <v/>
      </c>
      <c r="AF42" s="7"/>
      <c r="AG42" s="8"/>
      <c r="AH42" s="9" t="str">
        <f t="shared" ref="AH42:AH73" si="8">IF(OR($A42="",AG42=""),"",AG42-AE42)</f>
        <v/>
      </c>
      <c r="AI42" s="8"/>
      <c r="AJ42" s="6" t="str">
        <f t="shared" ref="AJ42:AJ73" si="9">IF(OR($A42="",AH42=""),"",AH42*AI42)</f>
        <v/>
      </c>
    </row>
    <row r="43" spans="1:36">
      <c r="A43" s="4"/>
      <c r="B43" s="5" t="str">
        <f>IF($A43="","",SUMIFS('4K حموده'!$D:$D,'4K حموده'!$C:$C,$A43,'4K حموده'!$F:$F,"&lt;&gt;")-SUMIFS('4K حموده'!$D:$D,'4K حموده'!$C:$C,$A43,'4K حموده'!$G:$G,"&lt;&gt;",'4K حموده'!$F:$F,""))</f>
        <v/>
      </c>
      <c r="C43" s="5" t="str">
        <f>IF($A43="","",SUMIFS('مكتب القاضي'!$D:$D,'مكتب القاضي'!$C:$C,$A43,'مكتب القاضي'!$F:$F,"&lt;&gt;")-SUMIFS('مكتب القاضي'!$D:$D,'مكتب القاضي'!$C:$C,$A43,'مكتب القاضي'!$G:$G,"&lt;&gt;",'مكتب القاضي'!$F:$F,""))</f>
        <v/>
      </c>
      <c r="D43" s="5" t="str">
        <f>IF($A43="","",SUMIFS(الاتشو!$D:$D,الاتشو!$C:$C,$A43,الاتشو!$F:$F,"&lt;&gt;")-SUMIFS(الاتشو!$D:$D,الاتشو!$C:$C,$A43,الاتشو!$G:$G,"&lt;&gt;",الاتشو!$F:$F,""))</f>
        <v/>
      </c>
      <c r="E43" s="5" t="str">
        <f>IF($A43="","",SUMIFS('علاء بوم ارض النت'!$D:$D,'علاء بوم ارض النت'!$C:$C,$A43,'علاء بوم ارض النت'!$F:$F,"&lt;&gt;")-SUMIFS('علاء بوم ارض النت'!$D:$D,'علاء بوم ارض النت'!$C:$C,$A43,'علاء بوم ارض النت'!$G:$G,"&lt;&gt;",'علاء بوم ارض النت'!$F:$F,""))</f>
        <v/>
      </c>
      <c r="F43" s="5" t="str">
        <f>IF($A43="","",SUMIFS('كيمو ميت ابو خالد'!$D:$D,'كيمو ميت ابو خالد'!$C:$C,$A43,'كيمو ميت ابو خالد'!$F:$F,"&lt;&gt;")-SUMIFS('كيمو ميت ابو خالد'!$D:$D,'كيمو ميت ابو خالد'!$C:$C,$A43,'كيمو ميت ابو خالد'!$G:$G,"&lt;&gt;",'كيمو ميت ابو خالد'!$F:$F,""))</f>
        <v/>
      </c>
      <c r="G43" s="5" t="str">
        <f>IF($A43="","",SUMIFS(KAZO!$D:$D,KAZO!$C:$C,$A43,KAZO!$F:$F,"&lt;&gt;")-SUMIFS(KAZO!$D:$D,KAZO!$C:$C,$A43,KAZO!$G:$G,"&lt;&gt;",KAZO!$F:$F,""))</f>
        <v/>
      </c>
      <c r="H43" s="5" t="str">
        <f>IF($A43="","",SUMIFS(LAFY!$D:$D,LAFY!$C:$C,$A43,LAFY!$F:$F,"&lt;&gt;")-SUMIFS(LAFY!$D:$D,LAFY!$C:$C,$A43,LAFY!$G:$G,"&lt;&gt;",LAFY!$F:$F,""))</f>
        <v/>
      </c>
      <c r="I43" s="5" t="str">
        <f>IF($A43="","",SUMIFS('POINT زفتي (جديد)'!$D:$D,'POINT زفتي (جديد)'!$C:$C,$A43,'POINT زفتي (جديد)'!$F:$F,"&lt;&gt;")-SUMIFS('POINT زفتي (جديد)'!$D:$D,'POINT زفتي (جديد)'!$C:$C,$A43,'POINT زفتي (جديد)'!$G:$G,"&lt;&gt;",'POINT زفتي (جديد)'!$F:$F,""))</f>
        <v/>
      </c>
      <c r="J43" s="5" t="str">
        <f>IF($A43="","",SUMIFS('POINT سعد زغلول (قديم)'!$D:$D,'POINT سعد زغلول (قديم)'!$C:$C,$A43,'POINT سعد زغلول (قديم)'!$F:$F,"&lt;&gt;")-SUMIFS('POINT سعد زغلول (قديم)'!$D:$D,'POINT سعد زغلول (قديم)'!$C:$C,$A43,'POINT سعد زغلول (قديم)'!$G:$G,"&lt;&gt;",'POINT سعد زغلول (قديم)'!$F:$F,""))</f>
        <v/>
      </c>
      <c r="K43" s="5" t="str">
        <f>IF($A43="","",SUMIFS('POWER ارض النت'!$D:$D,'POWER ارض النت'!$C:$C,$A43,'POWER ارض النت'!$F:$F,"&lt;&gt;")-SUMIFS('POWER ارض النت'!$D:$D,'POWER ارض النت'!$C:$C,$A43,'POWER ارض النت'!$G:$G,"&lt;&gt;",'POWER ارض النت'!$F:$F,""))</f>
        <v/>
      </c>
      <c r="L43" s="5" t="str">
        <f>IF($A43="","",SUMIFS('POWER زفتي'!$D:$D,'POWER زفتي'!$C:$C,$A43,'POWER زفتي'!$F:$F,"&lt;&gt;")-SUMIFS('POWER زفتي'!$D:$D,'POWER زفتي'!$C:$C,$A43,'POWER زفتي'!$G:$G,"&lt;&gt;",'POWER زفتي'!$F:$F,""))</f>
        <v/>
      </c>
      <c r="M43" s="5" t="str">
        <f>IF($A43="","",SUMIFS('احمد المنوفي'!$D:$D,'احمد المنوفي'!$C:$C,$A43,'احمد المنوفي'!$F:$F,"&lt;&gt;")-SUMIFS('احمد المنوفي'!$D:$D,'احمد المنوفي'!$C:$C,$A43,'احمد المنوفي'!$G:$G,"&lt;&gt;",'احمد المنوفي'!$F:$F,""))</f>
        <v/>
      </c>
      <c r="N43" s="5" t="str">
        <f>IF($A43="","",SUMIFS(السفير!$D:$D,السفير!$C:$C,$A43,السفير!$F:$F,"&lt;&gt;")-SUMIFS(السفير!$D:$D,السفير!$C:$C,$A43,السفير!$G:$G,"&lt;&gt;",السفير!$F:$F,""))</f>
        <v/>
      </c>
      <c r="O43" s="5" t="str">
        <f>IF($A43="","",SUMIFS(العالمي!$D:$D,العالمي!$C:$C,$A43,العالمي!$F:$F,"&lt;&gt;")-SUMIFS(العالمي!$D:$D,العالمي!$C:$C,$A43,العالمي!$G:$G,"&lt;&gt;",العالمي!$F:$F,""))</f>
        <v/>
      </c>
      <c r="P43" s="5" t="str">
        <f>IF($A43="","",SUMIFS('باهي التركي'!$D:$D,'باهي التركي'!$C:$C,$A43,'باهي التركي'!$F:$F,"&lt;&gt;")-SUMIFS('باهي التركي'!$D:$D,'باهي التركي'!$C:$C,$A43,'باهي التركي'!$G:$G,"&lt;&gt;",'باهي التركي'!$F:$F,""))</f>
        <v/>
      </c>
      <c r="Q43" s="5" t="str">
        <f>IF($A43="","",SUMIFS('توتي دماص'!$D:$D,'توتي دماص'!$C:$C,$A43,'توتي دماص'!$F:$F,"&lt;&gt;")-SUMIFS('توتي دماص'!$D:$D,'توتي دماص'!$C:$C,$A43,'توتي دماص'!$G:$G,"&lt;&gt;",'توتي دماص'!$F:$F,""))</f>
        <v/>
      </c>
      <c r="R43" s="5" t="str">
        <f>IF($A43="","",SUMIFS('رضا محمد'!$D:$D,'رضا محمد'!$C:$C,$A43,'رضا محمد'!$F:$F,"&lt;&gt;")-SUMIFS('رضا محمد'!$D:$D,'رضا محمد'!$C:$C,$A43,'رضا محمد'!$G:$G,"&lt;&gt;",'رضا محمد'!$F:$F,""))</f>
        <v/>
      </c>
      <c r="S43" s="5" t="str">
        <f>IF($A43="","",SUMIFS('زومبي العشري'!$D:$D,'زومبي العشري'!$C:$C,$A43,'زومبي العشري'!$F:$F,"&lt;&gt;")-SUMIFS('زومبي العشري'!$D:$D,'زومبي العشري'!$C:$C,$A43,'زومبي العشري'!$G:$G,"&lt;&gt;",'زومبي العشري'!$F:$F,""))</f>
        <v/>
      </c>
      <c r="T43" s="5" t="str">
        <f>IF($A43="","",SUMIFS('محمد عرابي'!$D:$D,'محمد عرابي'!$C:$C,$A43,'محمد عرابي'!$F:$F,"&lt;&gt;")-SUMIFS('محمد عرابي'!$D:$D,'محمد عرابي'!$C:$C,$A43,'محمد عرابي'!$G:$G,"&lt;&gt;",'محمد عرابي'!$F:$F,""))</f>
        <v/>
      </c>
      <c r="U43" s="5" t="str">
        <f>IF($A43="","",SUMIFS('عم جمال'!$D:$D,'عم جمال'!$C:$C,$A43,'عم جمال'!$F:$F,"&lt;&gt;")-SUMIFS('عم جمال'!$D:$D,'عم جمال'!$C:$C,$A43,'عم جمال'!$G:$G,"&lt;&gt;",'عم جمال'!$F:$F,""))</f>
        <v/>
      </c>
      <c r="V43" s="5" t="str">
        <f>IF($A43="","",SUMIFS('فاير سيليكت'!$D:$D,'فاير سيليكت'!$C:$C,$A43,'فاير سيليكت'!$F:$F,"&lt;&gt;")-SUMIFS('فاير سيليكت'!$D:$D,'فاير سيليكت'!$C:$C,$A43,'فاير سيليكت'!$G:$G,"&lt;&gt;",'فاير سيليكت'!$F:$F,""))</f>
        <v/>
      </c>
      <c r="W43" s="5" t="str">
        <f>IF($A43="","",SUMIFS(فرانكو!$D:$D,فرانكو!$C:$C,$A43,فرانكو!$F:$F,"&lt;&gt;")-SUMIFS(فرانكو!$D:$D,فرانكو!$C:$C,$A43,فرانكو!$G:$G,"&lt;&gt;",فرانكو!$F:$F,""))</f>
        <v/>
      </c>
      <c r="X43" s="5" t="str">
        <f>IF($A43="","",SUMIFS('كريم بكر'!$D:$D,'كريم بكر'!$C:$C,$A43,'كريم بكر'!$F:$F,"&lt;&gt;")-SUMIFS('كريم بكر'!$D:$D,'كريم بكر'!$C:$C,$A43,'كريم بكر'!$G:$G,"&lt;&gt;",'كريم بكر'!$F:$F,""))</f>
        <v/>
      </c>
      <c r="Y43" s="5" t="str">
        <f>IF($A43="","",SUMIFS(بفرا!$D:$D,بفرا!$C:$C,$A43,بفرا!$F:$F,"&lt;&gt;")-SUMIFS(بفرا!$D:$D,بفرا!$C:$C,$A43,بفرا!$G:$G,"&lt;&gt;",بفرا!$F:$F,""))</f>
        <v/>
      </c>
      <c r="Z43" s="5" t="str">
        <f>IF($A43="","",SUMIFS('محل كوم النور'!$D:$D,'محل كوم النور'!$C:$C,$A43,'محل كوم النور'!$F:$F,"&lt;&gt;")-SUMIFS('محل كوم النور'!$D:$D,'محل كوم النور'!$C:$C,$A43,'محل كوم النور'!$G:$G,"&lt;&gt;",'محل كوم النور'!$F:$F,""))</f>
        <v/>
      </c>
      <c r="AA43" s="5" t="str">
        <f>IF($A43="","",SUMIFS('محمد النجار'!$D:$D,'محمد النجار'!$C:$C,$A43,'محمد النجار'!$F:$F,"&lt;&gt;")-SUMIFS('محمد النجار'!$D:$D,'محمد النجار'!$C:$C,$A43,'محمد النجار'!$G:$G,"&lt;&gt;",'محمد النجار'!$F:$F,""))</f>
        <v/>
      </c>
      <c r="AB43" s="5" t="str">
        <f>IF($A43="","",SUMIFS('محمود عبدالرسول'!$D:$D,'محمود عبدالرسول'!$C:$C,$A43,'محمود عبدالرسول'!$F:$F,"&lt;&gt;")-SUMIFS('محمود عبدالرسول'!$D:$D,'محمود عبدالرسول'!$C:$C,$A43,'محمود عبدالرسول'!$G:$G,"&lt;&gt;",'محمود عبدالرسول'!$F:$F,""))</f>
        <v/>
      </c>
      <c r="AC43" s="5" t="str">
        <f>IF($A43="","",SUMIFS('مول المصطفي'!$D:$D,'مول المصطفي'!$C:$C,$A43,'مول المصطفي'!$F:$F,"&lt;&gt;")-SUMIFS('مول المصطفي'!$D:$D,'مول المصطفي'!$C:$C,$A43,'مول المصطفي'!$G:$G,"&lt;&gt;",'مول المصطفي'!$F:$F,""))</f>
        <v/>
      </c>
      <c r="AD43" s="5" t="str">
        <f>IF($A43="","",SUMIFS(مصانع!$D:$D,مصانع!$C:$C,$A43,مصانع!$F:$F,"&lt;&gt;")-SUMIFS(مصانع!$D:$D,مصانع!$C:$C,$A43,مصانع!$G:$G,"&lt;&gt;",مصانع!$F:$F,""))</f>
        <v/>
      </c>
      <c r="AE43" s="6" t="str">
        <f t="shared" si="3"/>
        <v/>
      </c>
      <c r="AF43" s="7"/>
      <c r="AG43" s="8"/>
      <c r="AH43" s="9" t="str">
        <f t="shared" si="8"/>
        <v/>
      </c>
      <c r="AI43" s="8"/>
      <c r="AJ43" s="6" t="str">
        <f t="shared" si="9"/>
        <v/>
      </c>
    </row>
    <row r="45" spans="1:36">
      <c r="A45" s="1" t="s">
        <v>123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0">
        <f>SUM(AJ3:AJ43)</f>
        <v>204575</v>
      </c>
    </row>
  </sheetData>
  <mergeCells count="2">
    <mergeCell ref="A1:AJ1"/>
    <mergeCell ref="A45:AI45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rightToLeft="1" zoomScaleNormal="100" workbookViewId="0">
      <pane ySplit="2" topLeftCell="A3" activePane="bottomLeft" state="frozen"/>
      <selection pane="bottomLeft" activeCell="C18" sqref="C18"/>
    </sheetView>
  </sheetViews>
  <sheetFormatPr defaultColWidth="8.6640625" defaultRowHeight="14.4"/>
  <cols>
    <col min="1" max="1" width="15.44140625" customWidth="1"/>
    <col min="2" max="2" width="30" customWidth="1"/>
    <col min="3" max="3" width="10" customWidth="1"/>
    <col min="4" max="4" width="8" customWidth="1"/>
    <col min="5" max="5" width="10" customWidth="1"/>
    <col min="6" max="8" width="12" customWidth="1"/>
  </cols>
  <sheetData>
    <row r="1" spans="1:8" ht="17.399999999999999" customHeight="1">
      <c r="A1" s="2" t="s">
        <v>124</v>
      </c>
      <c r="B1" s="2"/>
      <c r="C1" s="2"/>
      <c r="D1" s="2"/>
      <c r="E1" s="2"/>
      <c r="F1" s="2"/>
      <c r="G1" s="2"/>
      <c r="H1" s="2"/>
    </row>
    <row r="2" spans="1:8">
      <c r="A2" s="3" t="s">
        <v>125</v>
      </c>
      <c r="B2" s="3" t="s">
        <v>126</v>
      </c>
      <c r="C2" s="3" t="s">
        <v>1</v>
      </c>
      <c r="D2" s="3" t="s">
        <v>127</v>
      </c>
      <c r="E2" s="3" t="s">
        <v>128</v>
      </c>
      <c r="F2" s="3" t="s">
        <v>129</v>
      </c>
      <c r="G2" s="3" t="s">
        <v>130</v>
      </c>
      <c r="H2" s="3" t="s">
        <v>131</v>
      </c>
    </row>
    <row r="3" spans="1:8">
      <c r="A3" s="15">
        <v>46150</v>
      </c>
      <c r="B3" s="7" t="s">
        <v>62</v>
      </c>
      <c r="C3" s="4" t="s">
        <v>61</v>
      </c>
      <c r="D3" s="8">
        <v>12</v>
      </c>
      <c r="E3" s="12">
        <v>350</v>
      </c>
      <c r="F3" s="12">
        <v>4200</v>
      </c>
      <c r="G3" s="12"/>
      <c r="H3" s="13">
        <f>IF(AND($B3="",$C3="",$F3="",$G3=""),0,0+IF($F3="",0,$F3)-IF($G3="",0,$G3))</f>
        <v>4200</v>
      </c>
    </row>
    <row r="4" spans="1:8">
      <c r="A4" s="15">
        <v>46150</v>
      </c>
      <c r="B4" s="7" t="s">
        <v>64</v>
      </c>
      <c r="C4" s="4" t="s">
        <v>63</v>
      </c>
      <c r="D4" s="8">
        <v>4</v>
      </c>
      <c r="E4" s="12">
        <v>350</v>
      </c>
      <c r="F4" s="12">
        <v>1400</v>
      </c>
      <c r="G4" s="12"/>
      <c r="H4" s="13">
        <f t="shared" ref="H4:H29" si="0">IF(AND($B4="",$C4="",$F4="",$G4=""),$H3,$H3+IF($F4="",0,$F4)-IF($G4="",0,$G4))</f>
        <v>5600</v>
      </c>
    </row>
    <row r="5" spans="1:8">
      <c r="A5" s="15">
        <v>46150</v>
      </c>
      <c r="B5" s="7" t="s">
        <v>66</v>
      </c>
      <c r="C5" s="4" t="s">
        <v>65</v>
      </c>
      <c r="D5" s="8">
        <v>4</v>
      </c>
      <c r="E5" s="12">
        <v>330</v>
      </c>
      <c r="F5" s="12">
        <v>1320</v>
      </c>
      <c r="G5" s="12"/>
      <c r="H5" s="13">
        <f t="shared" si="0"/>
        <v>6920</v>
      </c>
    </row>
    <row r="6" spans="1:8">
      <c r="A6" s="15">
        <v>46150</v>
      </c>
      <c r="B6" s="18" t="s">
        <v>136</v>
      </c>
      <c r="C6" s="4"/>
      <c r="D6" s="8"/>
      <c r="E6" s="12"/>
      <c r="F6" s="12"/>
      <c r="G6" s="12">
        <v>3000</v>
      </c>
      <c r="H6" s="13">
        <f>IF(AND($B6="",$C6="",$F6="",$G6=""),$H5,$H5+IF($F6="",0,$F6)-IF($G6="",0,$G6))</f>
        <v>3920</v>
      </c>
    </row>
    <row r="7" spans="1:8">
      <c r="A7" s="17" t="s">
        <v>132</v>
      </c>
      <c r="B7" s="7" t="s">
        <v>133</v>
      </c>
      <c r="C7" s="4" t="s">
        <v>85</v>
      </c>
      <c r="D7" s="8">
        <v>8</v>
      </c>
      <c r="E7" s="12">
        <v>350</v>
      </c>
      <c r="F7" s="12">
        <v>2800</v>
      </c>
      <c r="G7" s="12"/>
      <c r="H7" s="13">
        <f>IF(AND($B7="",$C7="",$F7="",$G7=""),$H6,$H6+IF($F7="",0,$F7)-IF($G7="",0,$G7))</f>
        <v>6720</v>
      </c>
    </row>
    <row r="8" spans="1:8">
      <c r="A8" s="17" t="s">
        <v>132</v>
      </c>
      <c r="B8" s="7" t="s">
        <v>134</v>
      </c>
      <c r="C8" s="4" t="s">
        <v>93</v>
      </c>
      <c r="D8" s="8">
        <v>8</v>
      </c>
      <c r="E8" s="12">
        <v>360</v>
      </c>
      <c r="F8" s="12">
        <v>2880</v>
      </c>
      <c r="G8" s="12"/>
      <c r="H8" s="13">
        <f t="shared" si="0"/>
        <v>9600</v>
      </c>
    </row>
    <row r="9" spans="1:8">
      <c r="A9" s="17" t="s">
        <v>135</v>
      </c>
      <c r="B9" s="7" t="s">
        <v>136</v>
      </c>
      <c r="C9" s="4"/>
      <c r="D9" s="8"/>
      <c r="E9" s="12"/>
      <c r="F9" s="12"/>
      <c r="G9" s="12">
        <v>4000</v>
      </c>
      <c r="H9" s="13">
        <f t="shared" si="0"/>
        <v>5600</v>
      </c>
    </row>
    <row r="10" spans="1:8">
      <c r="A10" s="7"/>
      <c r="B10" s="7"/>
      <c r="C10" s="4"/>
      <c r="D10" s="8"/>
      <c r="E10" s="12"/>
      <c r="F10" s="12"/>
      <c r="G10" s="12"/>
      <c r="H10" s="13">
        <f t="shared" si="0"/>
        <v>5600</v>
      </c>
    </row>
    <row r="11" spans="1:8">
      <c r="A11" s="7"/>
      <c r="B11" s="7"/>
      <c r="C11" s="4"/>
      <c r="D11" s="8"/>
      <c r="E11" s="12"/>
      <c r="F11" s="12"/>
      <c r="G11" s="12"/>
      <c r="H11" s="13">
        <f t="shared" si="0"/>
        <v>5600</v>
      </c>
    </row>
    <row r="12" spans="1:8">
      <c r="A12" s="7"/>
      <c r="B12" s="7"/>
      <c r="C12" s="4"/>
      <c r="D12" s="8"/>
      <c r="E12" s="12"/>
      <c r="F12" s="12"/>
      <c r="G12" s="12"/>
      <c r="H12" s="13">
        <f t="shared" si="0"/>
        <v>5600</v>
      </c>
    </row>
    <row r="13" spans="1:8">
      <c r="A13" s="7"/>
      <c r="B13" s="7"/>
      <c r="C13" s="4"/>
      <c r="D13" s="8"/>
      <c r="E13" s="12"/>
      <c r="F13" s="12"/>
      <c r="G13" s="12"/>
      <c r="H13" s="13">
        <f t="shared" si="0"/>
        <v>5600</v>
      </c>
    </row>
    <row r="14" spans="1:8">
      <c r="A14" s="7"/>
      <c r="B14" s="7"/>
      <c r="C14" s="4"/>
      <c r="D14" s="8"/>
      <c r="E14" s="12"/>
      <c r="F14" s="12"/>
      <c r="G14" s="12"/>
      <c r="H14" s="13">
        <f t="shared" si="0"/>
        <v>5600</v>
      </c>
    </row>
    <row r="15" spans="1:8">
      <c r="A15" s="7"/>
      <c r="B15" s="7"/>
      <c r="C15" s="4"/>
      <c r="D15" s="8"/>
      <c r="E15" s="12"/>
      <c r="F15" s="12"/>
      <c r="G15" s="12"/>
      <c r="H15" s="13">
        <f t="shared" si="0"/>
        <v>5600</v>
      </c>
    </row>
    <row r="16" spans="1:8">
      <c r="A16" s="7"/>
      <c r="B16" s="7"/>
      <c r="C16" s="4"/>
      <c r="D16" s="8"/>
      <c r="E16" s="12"/>
      <c r="F16" s="12"/>
      <c r="G16" s="12"/>
      <c r="H16" s="13">
        <f t="shared" si="0"/>
        <v>5600</v>
      </c>
    </row>
    <row r="17" spans="1:8">
      <c r="A17" s="7"/>
      <c r="B17" s="7"/>
      <c r="C17" s="4"/>
      <c r="D17" s="8"/>
      <c r="E17" s="12"/>
      <c r="F17" s="12"/>
      <c r="G17" s="12"/>
      <c r="H17" s="13">
        <f t="shared" si="0"/>
        <v>5600</v>
      </c>
    </row>
    <row r="18" spans="1:8">
      <c r="A18" s="7"/>
      <c r="B18" s="7"/>
      <c r="C18" s="4"/>
      <c r="D18" s="8"/>
      <c r="E18" s="12"/>
      <c r="F18" s="12"/>
      <c r="G18" s="12"/>
      <c r="H18" s="13">
        <f t="shared" si="0"/>
        <v>5600</v>
      </c>
    </row>
    <row r="19" spans="1:8">
      <c r="A19" s="7"/>
      <c r="B19" s="7"/>
      <c r="C19" s="4"/>
      <c r="D19" s="8"/>
      <c r="E19" s="12"/>
      <c r="F19" s="12"/>
      <c r="G19" s="12"/>
      <c r="H19" s="13">
        <f t="shared" si="0"/>
        <v>5600</v>
      </c>
    </row>
    <row r="20" spans="1:8">
      <c r="A20" s="7"/>
      <c r="B20" s="7"/>
      <c r="C20" s="4"/>
      <c r="D20" s="8"/>
      <c r="E20" s="12"/>
      <c r="F20" s="12"/>
      <c r="G20" s="12"/>
      <c r="H20" s="13">
        <f t="shared" si="0"/>
        <v>5600</v>
      </c>
    </row>
    <row r="21" spans="1:8">
      <c r="A21" s="7"/>
      <c r="B21" s="7"/>
      <c r="C21" s="4"/>
      <c r="D21" s="8"/>
      <c r="E21" s="12"/>
      <c r="F21" s="12"/>
      <c r="G21" s="12"/>
      <c r="H21" s="13">
        <f t="shared" si="0"/>
        <v>5600</v>
      </c>
    </row>
    <row r="22" spans="1:8">
      <c r="A22" s="7"/>
      <c r="B22" s="7"/>
      <c r="C22" s="4"/>
      <c r="D22" s="8"/>
      <c r="E22" s="12"/>
      <c r="F22" s="12"/>
      <c r="G22" s="12"/>
      <c r="H22" s="13">
        <f t="shared" si="0"/>
        <v>5600</v>
      </c>
    </row>
    <row r="23" spans="1:8">
      <c r="A23" s="7"/>
      <c r="B23" s="7"/>
      <c r="C23" s="4"/>
      <c r="D23" s="8"/>
      <c r="E23" s="12"/>
      <c r="F23" s="12"/>
      <c r="G23" s="12"/>
      <c r="H23" s="13">
        <f t="shared" si="0"/>
        <v>5600</v>
      </c>
    </row>
    <row r="24" spans="1:8">
      <c r="A24" s="7"/>
      <c r="B24" s="7"/>
      <c r="C24" s="4"/>
      <c r="D24" s="8"/>
      <c r="E24" s="12"/>
      <c r="F24" s="12"/>
      <c r="G24" s="12"/>
      <c r="H24" s="13">
        <f t="shared" si="0"/>
        <v>5600</v>
      </c>
    </row>
    <row r="25" spans="1:8">
      <c r="A25" s="7"/>
      <c r="B25" s="7"/>
      <c r="C25" s="4"/>
      <c r="D25" s="8"/>
      <c r="E25" s="12"/>
      <c r="F25" s="12"/>
      <c r="G25" s="12"/>
      <c r="H25" s="13">
        <f t="shared" si="0"/>
        <v>5600</v>
      </c>
    </row>
    <row r="26" spans="1:8">
      <c r="A26" s="7"/>
      <c r="B26" s="7"/>
      <c r="C26" s="4"/>
      <c r="D26" s="8"/>
      <c r="E26" s="12"/>
      <c r="F26" s="12"/>
      <c r="G26" s="12"/>
      <c r="H26" s="13">
        <f t="shared" si="0"/>
        <v>5600</v>
      </c>
    </row>
    <row r="27" spans="1:8">
      <c r="A27" s="7"/>
      <c r="B27" s="7"/>
      <c r="C27" s="4"/>
      <c r="D27" s="8"/>
      <c r="E27" s="12"/>
      <c r="F27" s="12"/>
      <c r="G27" s="12"/>
      <c r="H27" s="13">
        <f t="shared" si="0"/>
        <v>5600</v>
      </c>
    </row>
    <row r="28" spans="1:8">
      <c r="A28" s="7"/>
      <c r="B28" s="7"/>
      <c r="C28" s="4"/>
      <c r="D28" s="8"/>
      <c r="E28" s="12"/>
      <c r="F28" s="12"/>
      <c r="G28" s="12"/>
      <c r="H28" s="13">
        <f t="shared" si="0"/>
        <v>5600</v>
      </c>
    </row>
    <row r="29" spans="1:8">
      <c r="A29" s="7"/>
      <c r="B29" s="7"/>
      <c r="C29" s="4"/>
      <c r="D29" s="8"/>
      <c r="E29" s="12"/>
      <c r="F29" s="12"/>
      <c r="G29" s="12"/>
      <c r="H29" s="13">
        <f t="shared" si="0"/>
        <v>5600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كود غير صحيح" error="الكود غير موجود في شيت المخزن - أضفه هناك أولاً" xr:uid="{00000000-0002-0000-0100-000000000000}">
          <x14:formula1>
            <xm:f>المخزن!$A$3:$A$43</xm:f>
          </x14:formula1>
          <x14:formula2>
            <xm:f>0</xm:f>
          </x14:formula2>
          <xm:sqref>C3:C29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4"/>
  <sheetViews>
    <sheetView rightToLeft="1" zoomScaleNormal="100" workbookViewId="0">
      <pane ySplit="2" topLeftCell="A23" activePane="bottomLeft" state="frozen"/>
      <selection pane="bottomLeft" activeCell="B37" sqref="B37"/>
    </sheetView>
  </sheetViews>
  <sheetFormatPr defaultColWidth="8.6640625" defaultRowHeight="14.4"/>
  <cols>
    <col min="1" max="1" width="15" customWidth="1"/>
    <col min="2" max="2" width="30" customWidth="1"/>
    <col min="3" max="3" width="10" customWidth="1"/>
    <col min="4" max="4" width="8" customWidth="1"/>
    <col min="5" max="5" width="10" customWidth="1"/>
    <col min="6" max="8" width="12" customWidth="1"/>
  </cols>
  <sheetData>
    <row r="1" spans="1:8" ht="17.399999999999999" customHeight="1">
      <c r="A1" s="2" t="s">
        <v>137</v>
      </c>
      <c r="B1" s="2"/>
      <c r="C1" s="2"/>
      <c r="D1" s="2"/>
      <c r="E1" s="2"/>
      <c r="F1" s="2"/>
      <c r="G1" s="2"/>
      <c r="H1" s="2"/>
    </row>
    <row r="2" spans="1:8">
      <c r="A2" s="3" t="s">
        <v>125</v>
      </c>
      <c r="B2" s="3" t="s">
        <v>126</v>
      </c>
      <c r="C2" s="3" t="s">
        <v>1</v>
      </c>
      <c r="D2" s="3" t="s">
        <v>127</v>
      </c>
      <c r="E2" s="3" t="s">
        <v>128</v>
      </c>
      <c r="F2" s="3" t="s">
        <v>129</v>
      </c>
      <c r="G2" s="3" t="s">
        <v>130</v>
      </c>
      <c r="H2" s="3" t="s">
        <v>131</v>
      </c>
    </row>
    <row r="3" spans="1:8">
      <c r="A3" s="7" t="s">
        <v>138</v>
      </c>
      <c r="B3" s="7" t="s">
        <v>139</v>
      </c>
      <c r="C3" s="4" t="s">
        <v>37</v>
      </c>
      <c r="D3" s="8">
        <v>20</v>
      </c>
      <c r="E3" s="12">
        <v>320</v>
      </c>
      <c r="F3" s="12">
        <v>6400</v>
      </c>
      <c r="G3" s="12"/>
      <c r="H3" s="13">
        <f>IF(AND($B3="",$C3="",$F3="",$G3=""),0,0+IF($F3="",0,$F3)-IF($G3="",0,$G3))</f>
        <v>6400</v>
      </c>
    </row>
    <row r="4" spans="1:8">
      <c r="A4" s="7" t="s">
        <v>138</v>
      </c>
      <c r="B4" s="7" t="s">
        <v>140</v>
      </c>
      <c r="C4" s="4" t="s">
        <v>41</v>
      </c>
      <c r="D4" s="8">
        <v>16</v>
      </c>
      <c r="E4" s="12">
        <v>310</v>
      </c>
      <c r="F4" s="12">
        <v>4960</v>
      </c>
      <c r="G4" s="12"/>
      <c r="H4" s="13">
        <f t="shared" ref="H4:H35" si="0">IF(AND($B4="",$C4="",$F4="",$G4=""),$H3,$H3+IF($F4="",0,$F4)-IF($G4="",0,$G4))</f>
        <v>11360</v>
      </c>
    </row>
    <row r="5" spans="1:8">
      <c r="A5" s="7" t="s">
        <v>138</v>
      </c>
      <c r="B5" s="7" t="s">
        <v>141</v>
      </c>
      <c r="C5" s="4" t="s">
        <v>39</v>
      </c>
      <c r="D5" s="8">
        <v>16</v>
      </c>
      <c r="E5" s="12">
        <v>380</v>
      </c>
      <c r="F5" s="12">
        <v>6080</v>
      </c>
      <c r="G5" s="12"/>
      <c r="H5" s="13">
        <f t="shared" si="0"/>
        <v>17440</v>
      </c>
    </row>
    <row r="6" spans="1:8">
      <c r="A6" s="7" t="s">
        <v>142</v>
      </c>
      <c r="B6" s="7" t="s">
        <v>143</v>
      </c>
      <c r="C6" s="4" t="s">
        <v>43</v>
      </c>
      <c r="D6" s="8">
        <v>28</v>
      </c>
      <c r="E6" s="12">
        <v>400</v>
      </c>
      <c r="F6" s="12">
        <v>11200</v>
      </c>
      <c r="G6" s="12"/>
      <c r="H6" s="13">
        <f t="shared" si="0"/>
        <v>28640</v>
      </c>
    </row>
    <row r="7" spans="1:8">
      <c r="A7" s="7" t="s">
        <v>144</v>
      </c>
      <c r="B7" s="7" t="s">
        <v>52</v>
      </c>
      <c r="C7" s="4" t="s">
        <v>51</v>
      </c>
      <c r="D7" s="8">
        <v>32</v>
      </c>
      <c r="E7" s="12">
        <v>350</v>
      </c>
      <c r="F7" s="12">
        <v>11200</v>
      </c>
      <c r="G7" s="12"/>
      <c r="H7" s="13">
        <f t="shared" si="0"/>
        <v>39840</v>
      </c>
    </row>
    <row r="8" spans="1:8">
      <c r="A8" s="7" t="s">
        <v>144</v>
      </c>
      <c r="B8" s="7" t="s">
        <v>60</v>
      </c>
      <c r="C8" s="4" t="s">
        <v>59</v>
      </c>
      <c r="D8" s="8">
        <v>32</v>
      </c>
      <c r="E8" s="12">
        <v>275</v>
      </c>
      <c r="F8" s="12">
        <v>8800</v>
      </c>
      <c r="G8" s="12"/>
      <c r="H8" s="13">
        <f t="shared" si="0"/>
        <v>48640</v>
      </c>
    </row>
    <row r="9" spans="1:8">
      <c r="A9" s="7" t="s">
        <v>144</v>
      </c>
      <c r="B9" s="7" t="s">
        <v>48</v>
      </c>
      <c r="C9" s="4" t="s">
        <v>47</v>
      </c>
      <c r="D9" s="8">
        <v>32</v>
      </c>
      <c r="E9" s="12">
        <v>240</v>
      </c>
      <c r="F9" s="12">
        <v>7680</v>
      </c>
      <c r="G9" s="12"/>
      <c r="H9" s="13">
        <f t="shared" si="0"/>
        <v>56320</v>
      </c>
    </row>
    <row r="10" spans="1:8">
      <c r="A10" s="7" t="s">
        <v>144</v>
      </c>
      <c r="B10" s="7"/>
      <c r="C10" s="4"/>
      <c r="D10" s="8"/>
      <c r="E10" s="12"/>
      <c r="F10" s="12"/>
      <c r="G10" s="12">
        <v>5000</v>
      </c>
      <c r="H10" s="13">
        <f t="shared" si="0"/>
        <v>51320</v>
      </c>
    </row>
    <row r="11" spans="1:8">
      <c r="A11" s="11">
        <v>46178</v>
      </c>
      <c r="B11" s="7" t="s">
        <v>54</v>
      </c>
      <c r="C11" s="4" t="s">
        <v>53</v>
      </c>
      <c r="D11" s="8">
        <v>24</v>
      </c>
      <c r="E11" s="12">
        <v>250</v>
      </c>
      <c r="F11" s="12">
        <v>6000</v>
      </c>
      <c r="G11" s="12"/>
      <c r="H11" s="13">
        <f t="shared" si="0"/>
        <v>57320</v>
      </c>
    </row>
    <row r="12" spans="1:8">
      <c r="A12" s="11">
        <v>46178</v>
      </c>
      <c r="B12" s="7" t="s">
        <v>56</v>
      </c>
      <c r="C12" s="4" t="s">
        <v>55</v>
      </c>
      <c r="D12" s="8">
        <v>24</v>
      </c>
      <c r="E12" s="12">
        <v>275</v>
      </c>
      <c r="F12" s="12">
        <v>6600</v>
      </c>
      <c r="G12" s="12"/>
      <c r="H12" s="13">
        <f t="shared" si="0"/>
        <v>63920</v>
      </c>
    </row>
    <row r="13" spans="1:8">
      <c r="A13" s="11">
        <v>46178</v>
      </c>
      <c r="B13" s="7" t="s">
        <v>58</v>
      </c>
      <c r="C13" s="4" t="s">
        <v>57</v>
      </c>
      <c r="D13" s="8">
        <v>20</v>
      </c>
      <c r="E13" s="12">
        <v>275</v>
      </c>
      <c r="F13" s="12">
        <v>5500</v>
      </c>
      <c r="G13" s="12"/>
      <c r="H13" s="13">
        <f t="shared" si="0"/>
        <v>69420</v>
      </c>
    </row>
    <row r="14" spans="1:8">
      <c r="A14" s="11">
        <v>46208</v>
      </c>
      <c r="B14" s="7"/>
      <c r="C14" s="4"/>
      <c r="D14" s="8"/>
      <c r="E14" s="12"/>
      <c r="F14" s="12"/>
      <c r="G14" s="12">
        <v>10000</v>
      </c>
      <c r="H14" s="13">
        <f t="shared" si="0"/>
        <v>59420</v>
      </c>
    </row>
    <row r="15" spans="1:8">
      <c r="A15" s="7" t="s">
        <v>145</v>
      </c>
      <c r="B15" s="7" t="s">
        <v>146</v>
      </c>
      <c r="C15" s="4" t="s">
        <v>53</v>
      </c>
      <c r="D15" s="8">
        <v>21</v>
      </c>
      <c r="E15" s="12">
        <v>250</v>
      </c>
      <c r="F15" s="12"/>
      <c r="G15" s="12">
        <v>5250</v>
      </c>
      <c r="H15" s="13">
        <f t="shared" si="0"/>
        <v>54170</v>
      </c>
    </row>
    <row r="16" spans="1:8">
      <c r="A16" s="7" t="s">
        <v>147</v>
      </c>
      <c r="B16" s="7" t="s">
        <v>148</v>
      </c>
      <c r="C16" s="4" t="s">
        <v>65</v>
      </c>
      <c r="D16" s="8">
        <v>20</v>
      </c>
      <c r="E16" s="12">
        <v>340</v>
      </c>
      <c r="F16" s="12">
        <v>6800</v>
      </c>
      <c r="G16" s="12"/>
      <c r="H16" s="13">
        <f t="shared" si="0"/>
        <v>60970</v>
      </c>
    </row>
    <row r="17" spans="1:8">
      <c r="A17" s="7" t="s">
        <v>147</v>
      </c>
      <c r="B17" s="7" t="s">
        <v>139</v>
      </c>
      <c r="C17" s="4" t="s">
        <v>37</v>
      </c>
      <c r="D17" s="8">
        <v>20</v>
      </c>
      <c r="E17" s="12">
        <v>320</v>
      </c>
      <c r="F17" s="12">
        <v>6400</v>
      </c>
      <c r="G17" s="12"/>
      <c r="H17" s="13">
        <f t="shared" si="0"/>
        <v>67370</v>
      </c>
    </row>
    <row r="18" spans="1:8">
      <c r="A18" s="7" t="s">
        <v>147</v>
      </c>
      <c r="B18" s="7" t="s">
        <v>68</v>
      </c>
      <c r="C18" s="4" t="s">
        <v>67</v>
      </c>
      <c r="D18" s="8">
        <v>16</v>
      </c>
      <c r="E18" s="12">
        <v>800</v>
      </c>
      <c r="F18" s="12">
        <v>12800</v>
      </c>
      <c r="G18" s="12"/>
      <c r="H18" s="13">
        <f t="shared" si="0"/>
        <v>80170</v>
      </c>
    </row>
    <row r="19" spans="1:8">
      <c r="A19" s="7" t="s">
        <v>149</v>
      </c>
      <c r="B19" s="7" t="s">
        <v>136</v>
      </c>
      <c r="C19" s="4"/>
      <c r="D19" s="8"/>
      <c r="E19" s="12"/>
      <c r="F19" s="12"/>
      <c r="G19" s="12">
        <v>10000</v>
      </c>
      <c r="H19" s="13">
        <f t="shared" si="0"/>
        <v>70170</v>
      </c>
    </row>
    <row r="20" spans="1:8">
      <c r="A20" s="7" t="s">
        <v>149</v>
      </c>
      <c r="B20" s="7" t="s">
        <v>150</v>
      </c>
      <c r="C20" s="4" t="s">
        <v>55</v>
      </c>
      <c r="D20" s="8">
        <v>24</v>
      </c>
      <c r="E20" s="12">
        <v>275</v>
      </c>
      <c r="F20" s="12"/>
      <c r="G20" s="12">
        <v>6600</v>
      </c>
      <c r="H20" s="13">
        <f t="shared" si="0"/>
        <v>63570</v>
      </c>
    </row>
    <row r="21" spans="1:8">
      <c r="A21" s="7" t="s">
        <v>149</v>
      </c>
      <c r="B21" s="7" t="s">
        <v>151</v>
      </c>
      <c r="C21" s="4" t="s">
        <v>57</v>
      </c>
      <c r="D21" s="8">
        <v>20</v>
      </c>
      <c r="E21" s="12">
        <v>275</v>
      </c>
      <c r="F21" s="12"/>
      <c r="G21" s="12">
        <v>5500</v>
      </c>
      <c r="H21" s="13">
        <f t="shared" si="0"/>
        <v>58070</v>
      </c>
    </row>
    <row r="22" spans="1:8">
      <c r="A22" s="7" t="s">
        <v>149</v>
      </c>
      <c r="B22" s="7" t="s">
        <v>152</v>
      </c>
      <c r="C22" s="4" t="s">
        <v>59</v>
      </c>
      <c r="D22" s="8">
        <v>32</v>
      </c>
      <c r="E22" s="12">
        <v>275</v>
      </c>
      <c r="F22" s="12"/>
      <c r="G22" s="12">
        <v>8800</v>
      </c>
      <c r="H22" s="13">
        <f t="shared" si="0"/>
        <v>49270</v>
      </c>
    </row>
    <row r="23" spans="1:8">
      <c r="A23" s="7" t="s">
        <v>149</v>
      </c>
      <c r="B23" s="7" t="s">
        <v>153</v>
      </c>
      <c r="C23" s="4" t="s">
        <v>47</v>
      </c>
      <c r="D23" s="8">
        <v>24</v>
      </c>
      <c r="E23" s="12">
        <v>240</v>
      </c>
      <c r="F23" s="12"/>
      <c r="G23" s="12">
        <v>5760</v>
      </c>
      <c r="H23" s="13">
        <f t="shared" si="0"/>
        <v>43510</v>
      </c>
    </row>
    <row r="24" spans="1:8">
      <c r="A24" s="7" t="s">
        <v>149</v>
      </c>
      <c r="B24" s="7" t="s">
        <v>154</v>
      </c>
      <c r="C24" s="4" t="s">
        <v>43</v>
      </c>
      <c r="D24" s="8">
        <v>20</v>
      </c>
      <c r="E24" s="12">
        <v>400</v>
      </c>
      <c r="F24" s="12"/>
      <c r="G24" s="12">
        <v>8000</v>
      </c>
      <c r="H24" s="13">
        <f t="shared" si="0"/>
        <v>35510</v>
      </c>
    </row>
    <row r="25" spans="1:8">
      <c r="A25" s="7" t="s">
        <v>149</v>
      </c>
      <c r="B25" s="7" t="s">
        <v>155</v>
      </c>
      <c r="C25" s="4" t="s">
        <v>37</v>
      </c>
      <c r="D25" s="8">
        <v>19</v>
      </c>
      <c r="E25" s="12">
        <v>320</v>
      </c>
      <c r="F25" s="12"/>
      <c r="G25" s="12">
        <v>6080</v>
      </c>
      <c r="H25" s="13">
        <f t="shared" si="0"/>
        <v>29430</v>
      </c>
    </row>
    <row r="26" spans="1:8">
      <c r="A26" s="7" t="s">
        <v>149</v>
      </c>
      <c r="B26" s="7" t="s">
        <v>156</v>
      </c>
      <c r="C26" s="4" t="s">
        <v>39</v>
      </c>
      <c r="D26" s="8">
        <v>11</v>
      </c>
      <c r="E26" s="12">
        <v>380</v>
      </c>
      <c r="F26" s="12"/>
      <c r="G26" s="12">
        <v>4180</v>
      </c>
      <c r="H26" s="13">
        <f t="shared" si="0"/>
        <v>25250</v>
      </c>
    </row>
    <row r="27" spans="1:8">
      <c r="A27" s="7" t="s">
        <v>157</v>
      </c>
      <c r="B27" s="7" t="s">
        <v>158</v>
      </c>
      <c r="C27" s="4" t="s">
        <v>67</v>
      </c>
      <c r="D27" s="8">
        <v>8</v>
      </c>
      <c r="E27" s="12">
        <v>800</v>
      </c>
      <c r="F27" s="12"/>
      <c r="G27" s="12">
        <v>6400</v>
      </c>
      <c r="H27" s="13">
        <f t="shared" si="0"/>
        <v>18850</v>
      </c>
    </row>
    <row r="28" spans="1:8">
      <c r="A28" s="7" t="s">
        <v>159</v>
      </c>
      <c r="B28" s="7" t="s">
        <v>160</v>
      </c>
      <c r="C28" s="4" t="s">
        <v>65</v>
      </c>
      <c r="D28" s="8">
        <v>20</v>
      </c>
      <c r="E28" s="12">
        <v>340</v>
      </c>
      <c r="F28" s="12"/>
      <c r="G28" s="12">
        <v>6800</v>
      </c>
      <c r="H28" s="13">
        <f t="shared" si="0"/>
        <v>12050</v>
      </c>
    </row>
    <row r="29" spans="1:8">
      <c r="A29" s="7" t="s">
        <v>159</v>
      </c>
      <c r="B29" s="7"/>
      <c r="C29" s="4" t="s">
        <v>67</v>
      </c>
      <c r="D29" s="8">
        <v>7</v>
      </c>
      <c r="E29" s="12">
        <v>800</v>
      </c>
      <c r="F29" s="12"/>
      <c r="G29" s="12">
        <v>5600</v>
      </c>
      <c r="H29" s="13">
        <f t="shared" si="0"/>
        <v>6450</v>
      </c>
    </row>
    <row r="30" spans="1:8">
      <c r="A30" s="7" t="s">
        <v>159</v>
      </c>
      <c r="B30" s="7" t="s">
        <v>70</v>
      </c>
      <c r="C30" s="4" t="s">
        <v>69</v>
      </c>
      <c r="D30" s="8">
        <v>32</v>
      </c>
      <c r="E30" s="12">
        <v>235</v>
      </c>
      <c r="F30" s="12">
        <v>7520</v>
      </c>
      <c r="G30" s="12"/>
      <c r="H30" s="13">
        <f t="shared" si="0"/>
        <v>13970</v>
      </c>
    </row>
    <row r="31" spans="1:8">
      <c r="A31" s="7" t="s">
        <v>161</v>
      </c>
      <c r="B31" s="7" t="s">
        <v>70</v>
      </c>
      <c r="C31" s="4" t="s">
        <v>69</v>
      </c>
      <c r="D31" s="8">
        <v>32</v>
      </c>
      <c r="E31" s="12">
        <v>235</v>
      </c>
      <c r="F31" s="12"/>
      <c r="G31" s="12">
        <v>7520</v>
      </c>
      <c r="H31" s="13">
        <f t="shared" si="0"/>
        <v>6450</v>
      </c>
    </row>
    <row r="32" spans="1:8">
      <c r="A32" s="7" t="s">
        <v>161</v>
      </c>
      <c r="B32" s="7" t="s">
        <v>139</v>
      </c>
      <c r="C32" s="4"/>
      <c r="D32" s="8">
        <v>8</v>
      </c>
      <c r="E32" s="12">
        <v>320</v>
      </c>
      <c r="F32" s="12"/>
      <c r="G32" s="12">
        <v>2560</v>
      </c>
      <c r="H32" s="13">
        <f t="shared" si="0"/>
        <v>3890</v>
      </c>
    </row>
    <row r="33" spans="1:8">
      <c r="A33" s="7" t="s">
        <v>161</v>
      </c>
      <c r="B33" s="7" t="s">
        <v>162</v>
      </c>
      <c r="C33" s="4"/>
      <c r="D33" s="8">
        <v>1</v>
      </c>
      <c r="E33" s="12">
        <v>350</v>
      </c>
      <c r="F33" s="12"/>
      <c r="G33" s="12">
        <v>350</v>
      </c>
      <c r="H33" s="13">
        <f t="shared" si="0"/>
        <v>3540</v>
      </c>
    </row>
    <row r="34" spans="1:8">
      <c r="A34" s="7" t="s">
        <v>161</v>
      </c>
      <c r="B34" s="7" t="s">
        <v>136</v>
      </c>
      <c r="C34" s="4"/>
      <c r="D34" s="8"/>
      <c r="E34" s="12"/>
      <c r="F34" s="12"/>
      <c r="G34" s="12">
        <v>3000</v>
      </c>
      <c r="H34" s="13">
        <f t="shared" si="0"/>
        <v>540</v>
      </c>
    </row>
    <row r="35" spans="1:8">
      <c r="A35" s="7"/>
      <c r="B35" s="7"/>
      <c r="C35" s="4"/>
      <c r="D35" s="8"/>
      <c r="E35" s="12"/>
      <c r="F35" s="12"/>
      <c r="G35" s="12"/>
      <c r="H35" s="13">
        <f t="shared" si="0"/>
        <v>540</v>
      </c>
    </row>
    <row r="36" spans="1:8">
      <c r="A36" s="7"/>
      <c r="B36" s="7"/>
      <c r="C36" s="4"/>
      <c r="D36" s="8"/>
      <c r="E36" s="12"/>
      <c r="F36" s="12"/>
      <c r="G36" s="12"/>
      <c r="H36" s="13">
        <f t="shared" ref="H36:H54" si="1">IF(AND($B36="",$C36="",$F36="",$G36=""),$H35,$H35+IF($F36="",0,$F36)-IF($G36="",0,$G36))</f>
        <v>540</v>
      </c>
    </row>
    <row r="37" spans="1:8">
      <c r="A37" s="7"/>
      <c r="B37" s="7"/>
      <c r="C37" s="4"/>
      <c r="D37" s="8"/>
      <c r="E37" s="12"/>
      <c r="F37" s="12"/>
      <c r="G37" s="12"/>
      <c r="H37" s="13">
        <f t="shared" si="1"/>
        <v>540</v>
      </c>
    </row>
    <row r="38" spans="1:8">
      <c r="A38" s="7"/>
      <c r="B38" s="7"/>
      <c r="C38" s="4"/>
      <c r="D38" s="8"/>
      <c r="E38" s="12"/>
      <c r="F38" s="12"/>
      <c r="G38" s="12"/>
      <c r="H38" s="13">
        <f t="shared" si="1"/>
        <v>540</v>
      </c>
    </row>
    <row r="39" spans="1:8">
      <c r="A39" s="7"/>
      <c r="B39" s="7"/>
      <c r="C39" s="4"/>
      <c r="D39" s="8"/>
      <c r="E39" s="12"/>
      <c r="F39" s="12"/>
      <c r="G39" s="12"/>
      <c r="H39" s="13">
        <f t="shared" si="1"/>
        <v>540</v>
      </c>
    </row>
    <row r="40" spans="1:8">
      <c r="A40" s="7"/>
      <c r="B40" s="7"/>
      <c r="C40" s="4"/>
      <c r="D40" s="8"/>
      <c r="E40" s="12"/>
      <c r="F40" s="12"/>
      <c r="G40" s="12"/>
      <c r="H40" s="13">
        <f t="shared" si="1"/>
        <v>540</v>
      </c>
    </row>
    <row r="41" spans="1:8">
      <c r="A41" s="7"/>
      <c r="B41" s="7"/>
      <c r="C41" s="4"/>
      <c r="D41" s="8"/>
      <c r="E41" s="12"/>
      <c r="F41" s="12"/>
      <c r="G41" s="12"/>
      <c r="H41" s="13">
        <f t="shared" si="1"/>
        <v>540</v>
      </c>
    </row>
    <row r="42" spans="1:8">
      <c r="A42" s="7"/>
      <c r="B42" s="7"/>
      <c r="C42" s="4"/>
      <c r="D42" s="8"/>
      <c r="E42" s="12"/>
      <c r="F42" s="12"/>
      <c r="G42" s="12"/>
      <c r="H42" s="13">
        <f t="shared" si="1"/>
        <v>540</v>
      </c>
    </row>
    <row r="43" spans="1:8">
      <c r="A43" s="7"/>
      <c r="B43" s="7"/>
      <c r="C43" s="4"/>
      <c r="D43" s="8"/>
      <c r="E43" s="12"/>
      <c r="F43" s="12"/>
      <c r="G43" s="12"/>
      <c r="H43" s="13">
        <f t="shared" si="1"/>
        <v>540</v>
      </c>
    </row>
    <row r="44" spans="1:8">
      <c r="A44" s="7"/>
      <c r="B44" s="7"/>
      <c r="C44" s="4"/>
      <c r="D44" s="8"/>
      <c r="E44" s="12"/>
      <c r="F44" s="12"/>
      <c r="G44" s="12"/>
      <c r="H44" s="13">
        <f t="shared" si="1"/>
        <v>540</v>
      </c>
    </row>
    <row r="45" spans="1:8">
      <c r="A45" s="7"/>
      <c r="B45" s="7"/>
      <c r="C45" s="4"/>
      <c r="D45" s="8"/>
      <c r="E45" s="12"/>
      <c r="F45" s="12"/>
      <c r="G45" s="12"/>
      <c r="H45" s="13">
        <f t="shared" si="1"/>
        <v>540</v>
      </c>
    </row>
    <row r="46" spans="1:8">
      <c r="A46" s="7"/>
      <c r="B46" s="7"/>
      <c r="C46" s="4"/>
      <c r="D46" s="8"/>
      <c r="E46" s="12"/>
      <c r="F46" s="12"/>
      <c r="G46" s="12"/>
      <c r="H46" s="13">
        <f t="shared" si="1"/>
        <v>540</v>
      </c>
    </row>
    <row r="47" spans="1:8">
      <c r="A47" s="7"/>
      <c r="B47" s="7"/>
      <c r="C47" s="4"/>
      <c r="D47" s="8"/>
      <c r="E47" s="12"/>
      <c r="F47" s="12"/>
      <c r="G47" s="12"/>
      <c r="H47" s="13">
        <f t="shared" si="1"/>
        <v>540</v>
      </c>
    </row>
    <row r="48" spans="1:8">
      <c r="A48" s="7"/>
      <c r="B48" s="7"/>
      <c r="C48" s="4"/>
      <c r="D48" s="8"/>
      <c r="E48" s="12"/>
      <c r="F48" s="12"/>
      <c r="G48" s="12"/>
      <c r="H48" s="13">
        <f t="shared" si="1"/>
        <v>540</v>
      </c>
    </row>
    <row r="49" spans="1:8">
      <c r="A49" s="7"/>
      <c r="B49" s="7"/>
      <c r="C49" s="4"/>
      <c r="D49" s="8"/>
      <c r="E49" s="12"/>
      <c r="F49" s="12"/>
      <c r="G49" s="12"/>
      <c r="H49" s="13">
        <f t="shared" si="1"/>
        <v>540</v>
      </c>
    </row>
    <row r="50" spans="1:8">
      <c r="A50" s="7"/>
      <c r="B50" s="7"/>
      <c r="C50" s="4"/>
      <c r="D50" s="8"/>
      <c r="E50" s="12"/>
      <c r="F50" s="12"/>
      <c r="G50" s="12"/>
      <c r="H50" s="13">
        <f t="shared" si="1"/>
        <v>540</v>
      </c>
    </row>
    <row r="51" spans="1:8">
      <c r="A51" s="7"/>
      <c r="B51" s="7"/>
      <c r="C51" s="4"/>
      <c r="D51" s="8"/>
      <c r="E51" s="12"/>
      <c r="F51" s="12"/>
      <c r="G51" s="12"/>
      <c r="H51" s="13">
        <f t="shared" si="1"/>
        <v>540</v>
      </c>
    </row>
    <row r="52" spans="1:8">
      <c r="A52" s="7"/>
      <c r="B52" s="7"/>
      <c r="C52" s="4"/>
      <c r="D52" s="8"/>
      <c r="E52" s="12"/>
      <c r="F52" s="12"/>
      <c r="G52" s="12"/>
      <c r="H52" s="13">
        <f t="shared" si="1"/>
        <v>540</v>
      </c>
    </row>
    <row r="53" spans="1:8">
      <c r="A53" s="7"/>
      <c r="B53" s="7"/>
      <c r="C53" s="4"/>
      <c r="D53" s="8"/>
      <c r="E53" s="12"/>
      <c r="F53" s="12"/>
      <c r="G53" s="12"/>
      <c r="H53" s="13">
        <f t="shared" si="1"/>
        <v>540</v>
      </c>
    </row>
    <row r="54" spans="1:8">
      <c r="A54" s="7"/>
      <c r="B54" s="7"/>
      <c r="C54" s="4"/>
      <c r="D54" s="8"/>
      <c r="E54" s="12"/>
      <c r="F54" s="12"/>
      <c r="G54" s="12"/>
      <c r="H54" s="13">
        <f t="shared" si="1"/>
        <v>540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كود غير صحيح" error="الكود غير موجود في شيت المخزن - أضفه هناك أولاً" xr:uid="{00000000-0002-0000-0200-000000000000}">
          <x14:formula1>
            <xm:f>المخزن!$A$3:$A$43</xm:f>
          </x14:formula1>
          <x14:formula2>
            <xm:f>0</xm:f>
          </x14:formula2>
          <xm:sqref>C3:C54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3"/>
  <sheetViews>
    <sheetView rightToLeft="1" zoomScaleNormal="100" workbookViewId="0">
      <pane ySplit="2" topLeftCell="A3" activePane="bottomLeft" state="frozen"/>
      <selection pane="bottomLeft" activeCell="A4" sqref="A4"/>
    </sheetView>
  </sheetViews>
  <sheetFormatPr defaultColWidth="8.6640625" defaultRowHeight="14.4"/>
  <cols>
    <col min="1" max="1" width="12" customWidth="1"/>
    <col min="2" max="2" width="30" customWidth="1"/>
    <col min="3" max="3" width="10" customWidth="1"/>
    <col min="4" max="4" width="8" customWidth="1"/>
    <col min="5" max="5" width="10" customWidth="1"/>
    <col min="6" max="8" width="12" customWidth="1"/>
  </cols>
  <sheetData>
    <row r="1" spans="1:8" ht="17.399999999999999" customHeight="1">
      <c r="A1" s="2" t="s">
        <v>163</v>
      </c>
      <c r="B1" s="2"/>
      <c r="C1" s="2"/>
      <c r="D1" s="2"/>
      <c r="E1" s="2"/>
      <c r="F1" s="2"/>
      <c r="G1" s="2"/>
      <c r="H1" s="2"/>
    </row>
    <row r="2" spans="1:8">
      <c r="A2" s="3" t="s">
        <v>125</v>
      </c>
      <c r="B2" s="3" t="s">
        <v>126</v>
      </c>
      <c r="C2" s="3" t="s">
        <v>1</v>
      </c>
      <c r="D2" s="3" t="s">
        <v>127</v>
      </c>
      <c r="E2" s="3" t="s">
        <v>128</v>
      </c>
      <c r="F2" s="3" t="s">
        <v>129</v>
      </c>
      <c r="G2" s="3" t="s">
        <v>130</v>
      </c>
      <c r="H2" s="3" t="s">
        <v>131</v>
      </c>
    </row>
    <row r="3" spans="1:8">
      <c r="A3" s="21" t="s">
        <v>248</v>
      </c>
      <c r="B3" s="7" t="s">
        <v>164</v>
      </c>
      <c r="C3" s="4"/>
      <c r="D3" s="8"/>
      <c r="E3" s="12"/>
      <c r="F3" s="12">
        <v>68405</v>
      </c>
      <c r="G3" s="12">
        <v>63405</v>
      </c>
      <c r="H3" s="13">
        <f>IF(AND($B3="",$C3="",$F3="",$G3=""),0,0+IF($F3="",0,$F3)-IF($G3="",0,$G3))</f>
        <v>5000</v>
      </c>
    </row>
    <row r="4" spans="1:8">
      <c r="A4" s="7"/>
      <c r="B4" s="7"/>
      <c r="C4" s="4"/>
      <c r="D4" s="8"/>
      <c r="E4" s="12"/>
      <c r="F4" s="12"/>
      <c r="G4" s="12"/>
      <c r="H4" s="13">
        <f t="shared" ref="H4:H23" si="0">IF(AND($B4="",$C4="",$F4="",$G4=""),$H3,$H3+IF($F4="",0,$F4)-IF($G4="",0,$G4))</f>
        <v>5000</v>
      </c>
    </row>
    <row r="5" spans="1:8">
      <c r="A5" s="7"/>
      <c r="B5" s="7"/>
      <c r="C5" s="4"/>
      <c r="D5" s="8"/>
      <c r="E5" s="12"/>
      <c r="F5" s="12"/>
      <c r="G5" s="12"/>
      <c r="H5" s="13">
        <f t="shared" si="0"/>
        <v>5000</v>
      </c>
    </row>
    <row r="6" spans="1:8">
      <c r="A6" s="7"/>
      <c r="B6" s="7"/>
      <c r="C6" s="4"/>
      <c r="D6" s="8"/>
      <c r="E6" s="12"/>
      <c r="F6" s="12"/>
      <c r="G6" s="12"/>
      <c r="H6" s="13">
        <f t="shared" si="0"/>
        <v>5000</v>
      </c>
    </row>
    <row r="7" spans="1:8">
      <c r="A7" s="7"/>
      <c r="B7" s="7"/>
      <c r="C7" s="4"/>
      <c r="D7" s="8"/>
      <c r="E7" s="12"/>
      <c r="F7" s="12"/>
      <c r="G7" s="12"/>
      <c r="H7" s="13">
        <f t="shared" si="0"/>
        <v>5000</v>
      </c>
    </row>
    <row r="8" spans="1:8">
      <c r="A8" s="7"/>
      <c r="B8" s="7"/>
      <c r="C8" s="4"/>
      <c r="D8" s="8"/>
      <c r="E8" s="12"/>
      <c r="F8" s="12"/>
      <c r="G8" s="12"/>
      <c r="H8" s="13">
        <f t="shared" si="0"/>
        <v>5000</v>
      </c>
    </row>
    <row r="9" spans="1:8">
      <c r="A9" s="7"/>
      <c r="B9" s="7"/>
      <c r="C9" s="4"/>
      <c r="D9" s="8"/>
      <c r="E9" s="12"/>
      <c r="F9" s="12"/>
      <c r="G9" s="12"/>
      <c r="H9" s="13">
        <f t="shared" si="0"/>
        <v>5000</v>
      </c>
    </row>
    <row r="10" spans="1:8">
      <c r="A10" s="7"/>
      <c r="B10" s="7"/>
      <c r="C10" s="4"/>
      <c r="D10" s="8"/>
      <c r="E10" s="12"/>
      <c r="F10" s="12"/>
      <c r="G10" s="12"/>
      <c r="H10" s="13">
        <f t="shared" si="0"/>
        <v>5000</v>
      </c>
    </row>
    <row r="11" spans="1:8">
      <c r="A11" s="7"/>
      <c r="B11" s="7"/>
      <c r="C11" s="4"/>
      <c r="D11" s="8"/>
      <c r="E11" s="12"/>
      <c r="F11" s="12"/>
      <c r="G11" s="12"/>
      <c r="H11" s="13">
        <f t="shared" si="0"/>
        <v>5000</v>
      </c>
    </row>
    <row r="12" spans="1:8">
      <c r="A12" s="7"/>
      <c r="B12" s="7"/>
      <c r="C12" s="4"/>
      <c r="D12" s="8"/>
      <c r="E12" s="12"/>
      <c r="F12" s="12"/>
      <c r="G12" s="12"/>
      <c r="H12" s="13">
        <f t="shared" si="0"/>
        <v>5000</v>
      </c>
    </row>
    <row r="13" spans="1:8">
      <c r="A13" s="7"/>
      <c r="B13" s="7"/>
      <c r="C13" s="4"/>
      <c r="D13" s="8"/>
      <c r="E13" s="12"/>
      <c r="F13" s="12"/>
      <c r="G13" s="12"/>
      <c r="H13" s="13">
        <f t="shared" si="0"/>
        <v>5000</v>
      </c>
    </row>
    <row r="14" spans="1:8">
      <c r="A14" s="7"/>
      <c r="B14" s="7"/>
      <c r="C14" s="4"/>
      <c r="D14" s="8"/>
      <c r="E14" s="12"/>
      <c r="F14" s="12"/>
      <c r="G14" s="12"/>
      <c r="H14" s="13">
        <f t="shared" si="0"/>
        <v>5000</v>
      </c>
    </row>
    <row r="15" spans="1:8">
      <c r="A15" s="7"/>
      <c r="B15" s="7"/>
      <c r="C15" s="4"/>
      <c r="D15" s="8"/>
      <c r="E15" s="12"/>
      <c r="F15" s="12"/>
      <c r="G15" s="12"/>
      <c r="H15" s="13">
        <f t="shared" si="0"/>
        <v>5000</v>
      </c>
    </row>
    <row r="16" spans="1:8">
      <c r="A16" s="7"/>
      <c r="B16" s="7"/>
      <c r="C16" s="4"/>
      <c r="D16" s="8"/>
      <c r="E16" s="12"/>
      <c r="F16" s="12"/>
      <c r="G16" s="12"/>
      <c r="H16" s="13">
        <f t="shared" si="0"/>
        <v>5000</v>
      </c>
    </row>
    <row r="17" spans="1:8">
      <c r="A17" s="7"/>
      <c r="B17" s="7"/>
      <c r="C17" s="4"/>
      <c r="D17" s="8"/>
      <c r="E17" s="12"/>
      <c r="F17" s="12"/>
      <c r="G17" s="12"/>
      <c r="H17" s="13">
        <f t="shared" si="0"/>
        <v>5000</v>
      </c>
    </row>
    <row r="18" spans="1:8">
      <c r="A18" s="7"/>
      <c r="B18" s="7"/>
      <c r="C18" s="4"/>
      <c r="D18" s="8"/>
      <c r="E18" s="12"/>
      <c r="F18" s="12"/>
      <c r="G18" s="12"/>
      <c r="H18" s="13">
        <f t="shared" si="0"/>
        <v>5000</v>
      </c>
    </row>
    <row r="19" spans="1:8">
      <c r="A19" s="7"/>
      <c r="B19" s="7"/>
      <c r="C19" s="4"/>
      <c r="D19" s="8"/>
      <c r="E19" s="12"/>
      <c r="F19" s="12"/>
      <c r="G19" s="12"/>
      <c r="H19" s="13">
        <f t="shared" si="0"/>
        <v>5000</v>
      </c>
    </row>
    <row r="20" spans="1:8">
      <c r="A20" s="7"/>
      <c r="B20" s="7"/>
      <c r="C20" s="4"/>
      <c r="D20" s="8"/>
      <c r="E20" s="12"/>
      <c r="F20" s="12"/>
      <c r="G20" s="12"/>
      <c r="H20" s="13">
        <f t="shared" si="0"/>
        <v>5000</v>
      </c>
    </row>
    <row r="21" spans="1:8">
      <c r="A21" s="7"/>
      <c r="B21" s="7"/>
      <c r="C21" s="4"/>
      <c r="D21" s="8"/>
      <c r="E21" s="12"/>
      <c r="F21" s="12"/>
      <c r="G21" s="12"/>
      <c r="H21" s="13">
        <f t="shared" si="0"/>
        <v>5000</v>
      </c>
    </row>
    <row r="22" spans="1:8">
      <c r="A22" s="7"/>
      <c r="B22" s="7"/>
      <c r="C22" s="4"/>
      <c r="D22" s="8"/>
      <c r="E22" s="12"/>
      <c r="F22" s="12"/>
      <c r="G22" s="12"/>
      <c r="H22" s="13">
        <f t="shared" si="0"/>
        <v>5000</v>
      </c>
    </row>
    <row r="23" spans="1:8">
      <c r="A23" s="7"/>
      <c r="B23" s="7"/>
      <c r="C23" s="4"/>
      <c r="D23" s="8"/>
      <c r="E23" s="12"/>
      <c r="F23" s="12"/>
      <c r="G23" s="12"/>
      <c r="H23" s="13">
        <f t="shared" si="0"/>
        <v>5000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كود غير صحيح" error="الكود غير موجود في شيت المخزن - أضفه هناك أولاً" xr:uid="{00000000-0002-0000-0300-000000000000}">
          <x14:formula1>
            <xm:f>المخزن!$A$3:$A$43</xm:f>
          </x14:formula1>
          <x14:formula2>
            <xm:f>0</xm:f>
          </x14:formula2>
          <xm:sqref>C3:C23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5"/>
  <sheetViews>
    <sheetView rightToLeft="1" zoomScaleNormal="100" workbookViewId="0">
      <pane ySplit="2" topLeftCell="A73" activePane="bottomLeft" state="frozen"/>
      <selection pane="bottomLeft" activeCell="B90" sqref="B90"/>
    </sheetView>
  </sheetViews>
  <sheetFormatPr defaultColWidth="8.6640625" defaultRowHeight="14.4"/>
  <cols>
    <col min="1" max="1" width="12" customWidth="1"/>
    <col min="2" max="2" width="38" customWidth="1"/>
    <col min="3" max="3" width="10" customWidth="1"/>
    <col min="4" max="4" width="8" customWidth="1"/>
    <col min="5" max="5" width="10" customWidth="1"/>
    <col min="6" max="8" width="12" customWidth="1"/>
  </cols>
  <sheetData>
    <row r="1" spans="1:8" ht="17.399999999999999" customHeight="1">
      <c r="A1" s="2" t="s">
        <v>165</v>
      </c>
      <c r="B1" s="2"/>
      <c r="C1" s="2"/>
      <c r="D1" s="2"/>
      <c r="E1" s="2"/>
      <c r="F1" s="2"/>
      <c r="G1" s="2"/>
      <c r="H1" s="2"/>
    </row>
    <row r="2" spans="1:8">
      <c r="A2" s="3" t="s">
        <v>125</v>
      </c>
      <c r="B2" s="3" t="s">
        <v>126</v>
      </c>
      <c r="C2" s="3" t="s">
        <v>1</v>
      </c>
      <c r="D2" s="3" t="s">
        <v>127</v>
      </c>
      <c r="E2" s="3" t="s">
        <v>128</v>
      </c>
      <c r="F2" s="3" t="s">
        <v>129</v>
      </c>
      <c r="G2" s="3" t="s">
        <v>130</v>
      </c>
      <c r="H2" s="3" t="s">
        <v>131</v>
      </c>
    </row>
    <row r="3" spans="1:8">
      <c r="A3" s="7" t="s">
        <v>166</v>
      </c>
      <c r="B3" s="7" t="s">
        <v>167</v>
      </c>
      <c r="C3" s="4" t="s">
        <v>39</v>
      </c>
      <c r="D3" s="8">
        <v>16</v>
      </c>
      <c r="E3" s="12">
        <v>380</v>
      </c>
      <c r="F3" s="12">
        <v>6080</v>
      </c>
      <c r="G3" s="12"/>
      <c r="H3" s="13">
        <f>IF(AND($B3="",$C3="",$F3="",$G3=""),0,0+IF($F3="",0,$F3)-IF($G3="",0,$G3))</f>
        <v>6080</v>
      </c>
    </row>
    <row r="4" spans="1:8">
      <c r="A4" s="7" t="s">
        <v>166</v>
      </c>
      <c r="B4" s="7" t="s">
        <v>168</v>
      </c>
      <c r="C4" s="4" t="s">
        <v>37</v>
      </c>
      <c r="D4" s="8">
        <v>16</v>
      </c>
      <c r="E4" s="12">
        <v>340</v>
      </c>
      <c r="F4" s="12">
        <v>5440</v>
      </c>
      <c r="G4" s="12"/>
      <c r="H4" s="13">
        <f t="shared" ref="H4:H35" si="0">IF(AND($B4="",$C4="",$F4="",$G4=""),$H3,$H3+IF($F4="",0,$F4)-IF($G4="",0,$G4))</f>
        <v>11520</v>
      </c>
    </row>
    <row r="5" spans="1:8">
      <c r="A5" s="7" t="s">
        <v>166</v>
      </c>
      <c r="B5" s="7" t="s">
        <v>169</v>
      </c>
      <c r="C5" s="4" t="s">
        <v>41</v>
      </c>
      <c r="D5" s="8">
        <v>16</v>
      </c>
      <c r="E5" s="12">
        <v>320</v>
      </c>
      <c r="F5" s="12">
        <v>5120</v>
      </c>
      <c r="G5" s="12"/>
      <c r="H5" s="13">
        <f t="shared" si="0"/>
        <v>16640</v>
      </c>
    </row>
    <row r="6" spans="1:8">
      <c r="A6" s="7"/>
      <c r="B6" s="7"/>
      <c r="C6" s="4"/>
      <c r="D6" s="8"/>
      <c r="E6" s="12"/>
      <c r="F6" s="12"/>
      <c r="G6" s="12">
        <v>5000</v>
      </c>
      <c r="H6" s="13">
        <f t="shared" si="0"/>
        <v>11640</v>
      </c>
    </row>
    <row r="7" spans="1:8">
      <c r="A7" s="7"/>
      <c r="B7" s="7"/>
      <c r="C7" s="4"/>
      <c r="D7" s="8"/>
      <c r="E7" s="12"/>
      <c r="F7" s="12"/>
      <c r="G7" s="12">
        <v>1000</v>
      </c>
      <c r="H7" s="13">
        <f t="shared" si="0"/>
        <v>10640</v>
      </c>
    </row>
    <row r="8" spans="1:8">
      <c r="A8" s="7" t="s">
        <v>170</v>
      </c>
      <c r="B8" s="7" t="s">
        <v>171</v>
      </c>
      <c r="C8" s="4" t="s">
        <v>43</v>
      </c>
      <c r="D8" s="8">
        <v>40</v>
      </c>
      <c r="E8" s="12">
        <v>420</v>
      </c>
      <c r="F8" s="12">
        <v>16800</v>
      </c>
      <c r="G8" s="12"/>
      <c r="H8" s="13">
        <f t="shared" si="0"/>
        <v>27440</v>
      </c>
    </row>
    <row r="9" spans="1:8">
      <c r="A9" s="14">
        <v>46027</v>
      </c>
      <c r="B9" s="7" t="s">
        <v>172</v>
      </c>
      <c r="C9" s="4"/>
      <c r="D9" s="8"/>
      <c r="E9" s="12"/>
      <c r="F9" s="12"/>
      <c r="G9" s="12">
        <v>5000</v>
      </c>
      <c r="H9" s="13">
        <f t="shared" si="0"/>
        <v>22440</v>
      </c>
    </row>
    <row r="10" spans="1:8">
      <c r="A10" s="14">
        <v>46027</v>
      </c>
      <c r="B10" s="7" t="s">
        <v>173</v>
      </c>
      <c r="C10" s="4" t="s">
        <v>51</v>
      </c>
      <c r="D10" s="8">
        <v>16</v>
      </c>
      <c r="E10" s="12">
        <v>380</v>
      </c>
      <c r="F10" s="12">
        <v>6080</v>
      </c>
      <c r="G10" s="12"/>
      <c r="H10" s="13">
        <f t="shared" si="0"/>
        <v>28520</v>
      </c>
    </row>
    <row r="11" spans="1:8">
      <c r="A11" s="14">
        <v>46027</v>
      </c>
      <c r="B11" s="7" t="s">
        <v>58</v>
      </c>
      <c r="C11" s="4" t="s">
        <v>57</v>
      </c>
      <c r="D11" s="8">
        <v>12</v>
      </c>
      <c r="E11" s="12">
        <v>310</v>
      </c>
      <c r="F11" s="12">
        <v>3720</v>
      </c>
      <c r="G11" s="12"/>
      <c r="H11" s="13">
        <f t="shared" si="0"/>
        <v>32240</v>
      </c>
    </row>
    <row r="12" spans="1:8">
      <c r="A12" s="14">
        <v>46117</v>
      </c>
      <c r="B12" s="7" t="s">
        <v>174</v>
      </c>
      <c r="C12" s="4" t="s">
        <v>51</v>
      </c>
      <c r="D12" s="8">
        <v>23</v>
      </c>
      <c r="E12" s="12">
        <v>380</v>
      </c>
      <c r="F12" s="12">
        <v>8740</v>
      </c>
      <c r="G12" s="12"/>
      <c r="H12" s="13">
        <f t="shared" si="0"/>
        <v>40980</v>
      </c>
    </row>
    <row r="13" spans="1:8">
      <c r="A13" s="14">
        <v>46117</v>
      </c>
      <c r="B13" s="7" t="s">
        <v>175</v>
      </c>
      <c r="C13" s="4" t="s">
        <v>37</v>
      </c>
      <c r="D13" s="8">
        <v>8</v>
      </c>
      <c r="E13" s="12">
        <v>340</v>
      </c>
      <c r="F13" s="12"/>
      <c r="G13" s="12">
        <v>2720</v>
      </c>
      <c r="H13" s="13">
        <f t="shared" si="0"/>
        <v>38260</v>
      </c>
    </row>
    <row r="14" spans="1:8">
      <c r="A14" s="14">
        <v>46117</v>
      </c>
      <c r="B14" s="7" t="s">
        <v>136</v>
      </c>
      <c r="C14" s="4"/>
      <c r="D14" s="8"/>
      <c r="E14" s="12"/>
      <c r="F14" s="12"/>
      <c r="G14" s="12">
        <v>4500</v>
      </c>
      <c r="H14" s="13">
        <f t="shared" si="0"/>
        <v>33760</v>
      </c>
    </row>
    <row r="15" spans="1:8">
      <c r="A15" s="14">
        <v>46208</v>
      </c>
      <c r="B15" s="7" t="s">
        <v>176</v>
      </c>
      <c r="C15" s="4" t="s">
        <v>51</v>
      </c>
      <c r="D15" s="8">
        <v>13</v>
      </c>
      <c r="E15" s="12">
        <v>380</v>
      </c>
      <c r="F15" s="12">
        <v>4940</v>
      </c>
      <c r="G15" s="12"/>
      <c r="H15" s="13">
        <f t="shared" si="0"/>
        <v>38700</v>
      </c>
    </row>
    <row r="16" spans="1:8">
      <c r="A16" s="14">
        <v>46208</v>
      </c>
      <c r="B16" s="7" t="s">
        <v>48</v>
      </c>
      <c r="C16" s="4" t="s">
        <v>47</v>
      </c>
      <c r="D16" s="8">
        <v>20</v>
      </c>
      <c r="E16" s="12">
        <v>260</v>
      </c>
      <c r="F16" s="12">
        <v>5200</v>
      </c>
      <c r="G16" s="12"/>
      <c r="H16" s="13">
        <f t="shared" si="0"/>
        <v>43900</v>
      </c>
    </row>
    <row r="17" spans="1:8">
      <c r="A17" s="14">
        <v>46208</v>
      </c>
      <c r="B17" s="7" t="s">
        <v>72</v>
      </c>
      <c r="C17" s="4" t="s">
        <v>71</v>
      </c>
      <c r="D17" s="8">
        <v>32</v>
      </c>
      <c r="E17" s="12">
        <v>100</v>
      </c>
      <c r="F17" s="12">
        <v>3200</v>
      </c>
      <c r="G17" s="12"/>
      <c r="H17" s="13">
        <f t="shared" si="0"/>
        <v>47100</v>
      </c>
    </row>
    <row r="18" spans="1:8">
      <c r="A18" s="14">
        <v>46208</v>
      </c>
      <c r="B18" s="7" t="s">
        <v>172</v>
      </c>
      <c r="C18" s="4"/>
      <c r="D18" s="8"/>
      <c r="E18" s="12"/>
      <c r="F18" s="12"/>
      <c r="G18" s="12">
        <v>5000</v>
      </c>
      <c r="H18" s="13">
        <f t="shared" si="0"/>
        <v>42100</v>
      </c>
    </row>
    <row r="19" spans="1:8">
      <c r="A19" s="7" t="s">
        <v>177</v>
      </c>
      <c r="B19" s="7" t="s">
        <v>172</v>
      </c>
      <c r="C19" s="4"/>
      <c r="D19" s="8"/>
      <c r="E19" s="12"/>
      <c r="F19" s="12"/>
      <c r="G19" s="12">
        <v>3000</v>
      </c>
      <c r="H19" s="13">
        <f t="shared" si="0"/>
        <v>39100</v>
      </c>
    </row>
    <row r="20" spans="1:8">
      <c r="A20" s="7" t="s">
        <v>145</v>
      </c>
      <c r="B20" s="7" t="s">
        <v>178</v>
      </c>
      <c r="C20" s="4"/>
      <c r="D20" s="8"/>
      <c r="E20" s="12"/>
      <c r="F20" s="12"/>
      <c r="G20" s="12">
        <v>3000</v>
      </c>
      <c r="H20" s="13">
        <f t="shared" si="0"/>
        <v>36100</v>
      </c>
    </row>
    <row r="21" spans="1:8">
      <c r="A21" s="7" t="s">
        <v>145</v>
      </c>
      <c r="B21" s="7" t="s">
        <v>179</v>
      </c>
      <c r="C21" s="4" t="s">
        <v>47</v>
      </c>
      <c r="D21" s="8">
        <v>12</v>
      </c>
      <c r="E21" s="12">
        <v>260</v>
      </c>
      <c r="F21" s="12"/>
      <c r="G21" s="12">
        <v>3120</v>
      </c>
      <c r="H21" s="13">
        <f t="shared" si="0"/>
        <v>32980</v>
      </c>
    </row>
    <row r="22" spans="1:8">
      <c r="A22" s="7" t="s">
        <v>145</v>
      </c>
      <c r="B22" s="7" t="s">
        <v>179</v>
      </c>
      <c r="C22" s="4" t="s">
        <v>37</v>
      </c>
      <c r="D22" s="8">
        <v>4</v>
      </c>
      <c r="E22" s="12">
        <v>340</v>
      </c>
      <c r="F22" s="12"/>
      <c r="G22" s="12">
        <v>1360</v>
      </c>
      <c r="H22" s="13">
        <f t="shared" si="0"/>
        <v>31620</v>
      </c>
    </row>
    <row r="23" spans="1:8">
      <c r="A23" s="7" t="s">
        <v>147</v>
      </c>
      <c r="B23" s="7" t="s">
        <v>68</v>
      </c>
      <c r="C23" s="4" t="s">
        <v>67</v>
      </c>
      <c r="D23" s="8">
        <v>16</v>
      </c>
      <c r="E23" s="12">
        <v>820</v>
      </c>
      <c r="F23" s="12">
        <v>13120</v>
      </c>
      <c r="G23" s="12"/>
      <c r="H23" s="13">
        <f t="shared" si="0"/>
        <v>44740</v>
      </c>
    </row>
    <row r="24" spans="1:8">
      <c r="A24" s="7" t="s">
        <v>147</v>
      </c>
      <c r="B24" s="7" t="s">
        <v>148</v>
      </c>
      <c r="C24" s="4" t="s">
        <v>65</v>
      </c>
      <c r="D24" s="8">
        <v>24</v>
      </c>
      <c r="E24" s="12">
        <v>350</v>
      </c>
      <c r="F24" s="12">
        <v>8400</v>
      </c>
      <c r="G24" s="12"/>
      <c r="H24" s="13">
        <f t="shared" si="0"/>
        <v>53140</v>
      </c>
    </row>
    <row r="25" spans="1:8">
      <c r="A25" s="7" t="s">
        <v>147</v>
      </c>
      <c r="B25" s="7" t="s">
        <v>140</v>
      </c>
      <c r="C25" s="4" t="s">
        <v>41</v>
      </c>
      <c r="D25" s="8">
        <v>4</v>
      </c>
      <c r="E25" s="12">
        <v>330</v>
      </c>
      <c r="F25" s="12">
        <v>1320</v>
      </c>
      <c r="G25" s="12"/>
      <c r="H25" s="13">
        <f t="shared" si="0"/>
        <v>54460</v>
      </c>
    </row>
    <row r="26" spans="1:8">
      <c r="A26" s="7" t="s">
        <v>147</v>
      </c>
      <c r="B26" s="7" t="s">
        <v>136</v>
      </c>
      <c r="C26" s="4"/>
      <c r="D26" s="8"/>
      <c r="E26" s="12"/>
      <c r="F26" s="12"/>
      <c r="G26" s="12">
        <v>10000</v>
      </c>
      <c r="H26" s="13">
        <f t="shared" si="0"/>
        <v>44460</v>
      </c>
    </row>
    <row r="27" spans="1:8">
      <c r="A27" s="7" t="s">
        <v>180</v>
      </c>
      <c r="B27" s="7" t="s">
        <v>136</v>
      </c>
      <c r="C27" s="4"/>
      <c r="D27" s="8"/>
      <c r="E27" s="12"/>
      <c r="F27" s="12"/>
      <c r="G27" s="12">
        <v>5000</v>
      </c>
      <c r="H27" s="13">
        <f t="shared" si="0"/>
        <v>39460</v>
      </c>
    </row>
    <row r="28" spans="1:8">
      <c r="A28" s="7" t="s">
        <v>157</v>
      </c>
      <c r="B28" s="7" t="s">
        <v>181</v>
      </c>
      <c r="C28" s="4"/>
      <c r="D28" s="8">
        <v>12</v>
      </c>
      <c r="E28" s="12">
        <v>200</v>
      </c>
      <c r="F28" s="12">
        <v>2400</v>
      </c>
      <c r="G28" s="12"/>
      <c r="H28" s="13">
        <f t="shared" si="0"/>
        <v>41860</v>
      </c>
    </row>
    <row r="29" spans="1:8">
      <c r="A29" s="7" t="s">
        <v>157</v>
      </c>
      <c r="B29" s="7" t="s">
        <v>176</v>
      </c>
      <c r="C29" s="4" t="s">
        <v>51</v>
      </c>
      <c r="D29" s="8">
        <v>12</v>
      </c>
      <c r="E29" s="12">
        <v>380</v>
      </c>
      <c r="F29" s="12">
        <v>4560</v>
      </c>
      <c r="G29" s="12"/>
      <c r="H29" s="13">
        <f t="shared" si="0"/>
        <v>46420</v>
      </c>
    </row>
    <row r="30" spans="1:8">
      <c r="A30" s="7" t="s">
        <v>182</v>
      </c>
      <c r="B30" s="7" t="s">
        <v>183</v>
      </c>
      <c r="C30" s="4"/>
      <c r="D30" s="8"/>
      <c r="E30" s="12"/>
      <c r="F30" s="12"/>
      <c r="G30" s="12">
        <v>15000</v>
      </c>
      <c r="H30" s="13">
        <f t="shared" si="0"/>
        <v>31420</v>
      </c>
    </row>
    <row r="31" spans="1:8">
      <c r="A31" s="14">
        <v>46148</v>
      </c>
      <c r="B31" s="7"/>
      <c r="C31" s="4"/>
      <c r="D31" s="8"/>
      <c r="E31" s="12"/>
      <c r="F31" s="12"/>
      <c r="G31" s="12">
        <v>15000</v>
      </c>
      <c r="H31" s="13">
        <f t="shared" si="0"/>
        <v>16420</v>
      </c>
    </row>
    <row r="32" spans="1:8">
      <c r="A32" s="7" t="s">
        <v>184</v>
      </c>
      <c r="B32" s="7" t="s">
        <v>185</v>
      </c>
      <c r="C32" s="4" t="s">
        <v>69</v>
      </c>
      <c r="D32" s="8">
        <v>12</v>
      </c>
      <c r="E32" s="12">
        <v>250</v>
      </c>
      <c r="F32" s="12">
        <v>3000</v>
      </c>
      <c r="G32" s="12"/>
      <c r="H32" s="13">
        <f t="shared" si="0"/>
        <v>19420</v>
      </c>
    </row>
    <row r="33" spans="1:8">
      <c r="A33" s="7" t="s">
        <v>184</v>
      </c>
      <c r="B33" s="7" t="s">
        <v>162</v>
      </c>
      <c r="C33" s="4" t="s">
        <v>51</v>
      </c>
      <c r="D33" s="8">
        <v>13</v>
      </c>
      <c r="E33" s="12">
        <v>380</v>
      </c>
      <c r="F33" s="12">
        <v>4940</v>
      </c>
      <c r="G33" s="12"/>
      <c r="H33" s="13">
        <f t="shared" si="0"/>
        <v>24360</v>
      </c>
    </row>
    <row r="34" spans="1:8">
      <c r="A34" s="7" t="s">
        <v>184</v>
      </c>
      <c r="B34" s="7" t="s">
        <v>186</v>
      </c>
      <c r="C34" s="4" t="s">
        <v>67</v>
      </c>
      <c r="D34" s="8">
        <v>4</v>
      </c>
      <c r="E34" s="12">
        <v>820</v>
      </c>
      <c r="F34" s="12"/>
      <c r="G34" s="12">
        <v>3280</v>
      </c>
      <c r="H34" s="13">
        <f t="shared" si="0"/>
        <v>21080</v>
      </c>
    </row>
    <row r="35" spans="1:8">
      <c r="A35" s="7" t="s">
        <v>184</v>
      </c>
      <c r="B35" s="7" t="s">
        <v>136</v>
      </c>
      <c r="C35" s="4"/>
      <c r="D35" s="8"/>
      <c r="E35" s="12"/>
      <c r="F35" s="12"/>
      <c r="G35" s="12">
        <v>8000</v>
      </c>
      <c r="H35" s="13">
        <f t="shared" si="0"/>
        <v>13080</v>
      </c>
    </row>
    <row r="36" spans="1:8">
      <c r="A36" s="7" t="s">
        <v>187</v>
      </c>
      <c r="B36" s="7" t="s">
        <v>148</v>
      </c>
      <c r="C36" s="4" t="s">
        <v>65</v>
      </c>
      <c r="D36" s="8">
        <v>7</v>
      </c>
      <c r="E36" s="12">
        <v>350</v>
      </c>
      <c r="F36" s="12">
        <v>2450</v>
      </c>
      <c r="G36" s="12"/>
      <c r="H36" s="13">
        <f t="shared" ref="H36:H67" si="1">IF(AND($B36="",$C36="",$F36="",$G36=""),$H35,$H35+IF($F36="",0,$F36)-IF($G36="",0,$G36))</f>
        <v>15530</v>
      </c>
    </row>
    <row r="37" spans="1:8">
      <c r="A37" s="7" t="s">
        <v>187</v>
      </c>
      <c r="B37" s="7" t="s">
        <v>171</v>
      </c>
      <c r="C37" s="4" t="s">
        <v>43</v>
      </c>
      <c r="D37" s="8">
        <v>16</v>
      </c>
      <c r="E37" s="12">
        <v>400</v>
      </c>
      <c r="F37" s="12">
        <v>6400</v>
      </c>
      <c r="G37" s="12"/>
      <c r="H37" s="13">
        <f t="shared" si="1"/>
        <v>21930</v>
      </c>
    </row>
    <row r="38" spans="1:8">
      <c r="A38" s="7" t="s">
        <v>187</v>
      </c>
      <c r="B38" s="7" t="s">
        <v>188</v>
      </c>
      <c r="C38" s="4"/>
      <c r="D38" s="8">
        <v>12</v>
      </c>
      <c r="E38" s="12">
        <v>250</v>
      </c>
      <c r="F38" s="12">
        <v>3000</v>
      </c>
      <c r="G38" s="12"/>
      <c r="H38" s="13">
        <f t="shared" si="1"/>
        <v>24930</v>
      </c>
    </row>
    <row r="39" spans="1:8">
      <c r="A39" s="7" t="s">
        <v>187</v>
      </c>
      <c r="B39" s="7" t="s">
        <v>189</v>
      </c>
      <c r="C39" s="4"/>
      <c r="D39" s="8"/>
      <c r="E39" s="12"/>
      <c r="F39" s="12"/>
      <c r="G39" s="12">
        <v>4000</v>
      </c>
      <c r="H39" s="13">
        <f t="shared" si="1"/>
        <v>20930</v>
      </c>
    </row>
    <row r="40" spans="1:8">
      <c r="A40" s="7" t="s">
        <v>190</v>
      </c>
      <c r="B40" s="7" t="s">
        <v>191</v>
      </c>
      <c r="C40" s="4" t="s">
        <v>65</v>
      </c>
      <c r="D40" s="8">
        <v>3</v>
      </c>
      <c r="E40" s="12">
        <v>350</v>
      </c>
      <c r="F40" s="12"/>
      <c r="G40" s="12">
        <v>1050</v>
      </c>
      <c r="H40" s="13">
        <f t="shared" si="1"/>
        <v>19880</v>
      </c>
    </row>
    <row r="41" spans="1:8">
      <c r="A41" s="7" t="s">
        <v>190</v>
      </c>
      <c r="B41" s="7" t="s">
        <v>171</v>
      </c>
      <c r="C41" s="4" t="s">
        <v>43</v>
      </c>
      <c r="D41" s="8">
        <v>3</v>
      </c>
      <c r="E41" s="12">
        <v>400</v>
      </c>
      <c r="F41" s="12">
        <v>1200</v>
      </c>
      <c r="G41" s="12"/>
      <c r="H41" s="13">
        <f t="shared" si="1"/>
        <v>21080</v>
      </c>
    </row>
    <row r="42" spans="1:8">
      <c r="A42" s="7" t="s">
        <v>190</v>
      </c>
      <c r="B42" s="7" t="s">
        <v>74</v>
      </c>
      <c r="C42" s="4" t="s">
        <v>73</v>
      </c>
      <c r="D42" s="8">
        <v>12</v>
      </c>
      <c r="E42" s="12">
        <v>300</v>
      </c>
      <c r="F42" s="12">
        <v>3600</v>
      </c>
      <c r="G42" s="12"/>
      <c r="H42" s="13">
        <f t="shared" si="1"/>
        <v>24680</v>
      </c>
    </row>
    <row r="43" spans="1:8">
      <c r="A43" s="7" t="s">
        <v>192</v>
      </c>
      <c r="B43" s="7" t="s">
        <v>189</v>
      </c>
      <c r="C43" s="4"/>
      <c r="D43" s="8"/>
      <c r="E43" s="12"/>
      <c r="F43" s="12"/>
      <c r="G43" s="12">
        <v>2500</v>
      </c>
      <c r="H43" s="13">
        <f t="shared" si="1"/>
        <v>22180</v>
      </c>
    </row>
    <row r="44" spans="1:8">
      <c r="A44" s="7" t="s">
        <v>193</v>
      </c>
      <c r="B44" s="7" t="s">
        <v>185</v>
      </c>
      <c r="C44" s="4" t="s">
        <v>69</v>
      </c>
      <c r="D44" s="8">
        <v>12</v>
      </c>
      <c r="E44" s="12">
        <v>250</v>
      </c>
      <c r="F44" s="12"/>
      <c r="G44" s="12">
        <v>3000</v>
      </c>
      <c r="H44" s="13">
        <f t="shared" si="1"/>
        <v>19180</v>
      </c>
    </row>
    <row r="45" spans="1:8">
      <c r="A45" s="7" t="s">
        <v>193</v>
      </c>
      <c r="B45" s="7" t="s">
        <v>189</v>
      </c>
      <c r="C45" s="4"/>
      <c r="D45" s="8"/>
      <c r="E45" s="12"/>
      <c r="F45" s="12"/>
      <c r="G45" s="12">
        <v>2000</v>
      </c>
      <c r="H45" s="13">
        <f t="shared" si="1"/>
        <v>17180</v>
      </c>
    </row>
    <row r="46" spans="1:8">
      <c r="A46" s="7" t="s">
        <v>193</v>
      </c>
      <c r="B46" s="7" t="s">
        <v>189</v>
      </c>
      <c r="C46" s="4"/>
      <c r="D46" s="8"/>
      <c r="E46" s="12"/>
      <c r="F46" s="12"/>
      <c r="G46" s="12">
        <v>2000</v>
      </c>
      <c r="H46" s="13">
        <f t="shared" si="1"/>
        <v>15180</v>
      </c>
    </row>
    <row r="47" spans="1:8">
      <c r="A47" s="7" t="s">
        <v>194</v>
      </c>
      <c r="B47" s="7" t="s">
        <v>136</v>
      </c>
      <c r="C47" s="4"/>
      <c r="D47" s="8"/>
      <c r="E47" s="12"/>
      <c r="F47" s="12"/>
      <c r="G47" s="12">
        <v>7000</v>
      </c>
      <c r="H47" s="13">
        <f t="shared" si="1"/>
        <v>8180</v>
      </c>
    </row>
    <row r="48" spans="1:8">
      <c r="A48" s="7" t="s">
        <v>161</v>
      </c>
      <c r="B48" s="7" t="s">
        <v>195</v>
      </c>
      <c r="C48" s="4"/>
      <c r="D48" s="8">
        <v>20</v>
      </c>
      <c r="E48" s="12">
        <v>200</v>
      </c>
      <c r="F48" s="12">
        <v>4000</v>
      </c>
      <c r="G48" s="12"/>
      <c r="H48" s="13">
        <f t="shared" si="1"/>
        <v>12180</v>
      </c>
    </row>
    <row r="49" spans="1:8">
      <c r="A49" s="7" t="s">
        <v>161</v>
      </c>
      <c r="B49" s="7" t="s">
        <v>196</v>
      </c>
      <c r="C49" s="4"/>
      <c r="D49" s="8"/>
      <c r="E49" s="12"/>
      <c r="F49" s="12"/>
      <c r="G49" s="12">
        <v>4000</v>
      </c>
      <c r="H49" s="13">
        <f t="shared" si="1"/>
        <v>8180</v>
      </c>
    </row>
    <row r="50" spans="1:8">
      <c r="A50" s="7" t="s">
        <v>197</v>
      </c>
      <c r="B50" s="7" t="s">
        <v>76</v>
      </c>
      <c r="C50" s="4" t="s">
        <v>75</v>
      </c>
      <c r="D50" s="8">
        <v>12</v>
      </c>
      <c r="E50" s="12">
        <v>310</v>
      </c>
      <c r="F50" s="12">
        <v>3720</v>
      </c>
      <c r="G50" s="12"/>
      <c r="H50" s="13">
        <f t="shared" si="1"/>
        <v>11900</v>
      </c>
    </row>
    <row r="51" spans="1:8">
      <c r="A51" s="7" t="s">
        <v>198</v>
      </c>
      <c r="B51" s="7" t="s">
        <v>78</v>
      </c>
      <c r="C51" s="4" t="s">
        <v>77</v>
      </c>
      <c r="D51" s="8">
        <v>16</v>
      </c>
      <c r="E51" s="12">
        <v>365</v>
      </c>
      <c r="F51" s="12">
        <v>5840</v>
      </c>
      <c r="G51" s="12"/>
      <c r="H51" s="13">
        <f t="shared" si="1"/>
        <v>17740</v>
      </c>
    </row>
    <row r="52" spans="1:8">
      <c r="A52" s="7" t="s">
        <v>198</v>
      </c>
      <c r="B52" s="7" t="s">
        <v>80</v>
      </c>
      <c r="C52" s="4" t="s">
        <v>79</v>
      </c>
      <c r="D52" s="8">
        <v>12</v>
      </c>
      <c r="E52" s="12">
        <v>385</v>
      </c>
      <c r="F52" s="12">
        <v>4620</v>
      </c>
      <c r="G52" s="12"/>
      <c r="H52" s="13">
        <f t="shared" si="1"/>
        <v>22360</v>
      </c>
    </row>
    <row r="53" spans="1:8">
      <c r="A53" s="7" t="s">
        <v>198</v>
      </c>
      <c r="B53" s="7" t="s">
        <v>82</v>
      </c>
      <c r="C53" s="4" t="s">
        <v>81</v>
      </c>
      <c r="D53" s="8">
        <v>20</v>
      </c>
      <c r="E53" s="12">
        <v>385</v>
      </c>
      <c r="F53" s="12">
        <v>7700</v>
      </c>
      <c r="G53" s="12"/>
      <c r="H53" s="13">
        <f t="shared" si="1"/>
        <v>30060</v>
      </c>
    </row>
    <row r="54" spans="1:8">
      <c r="A54" s="7" t="s">
        <v>198</v>
      </c>
      <c r="B54" s="7" t="s">
        <v>84</v>
      </c>
      <c r="C54" s="4" t="s">
        <v>83</v>
      </c>
      <c r="D54" s="8">
        <v>16</v>
      </c>
      <c r="E54" s="12">
        <v>385</v>
      </c>
      <c r="F54" s="12">
        <v>6160</v>
      </c>
      <c r="G54" s="12"/>
      <c r="H54" s="13">
        <f t="shared" si="1"/>
        <v>36220</v>
      </c>
    </row>
    <row r="55" spans="1:8">
      <c r="A55" s="7" t="s">
        <v>198</v>
      </c>
      <c r="B55" s="7" t="s">
        <v>136</v>
      </c>
      <c r="C55" s="4"/>
      <c r="D55" s="8"/>
      <c r="E55" s="12"/>
      <c r="F55" s="12"/>
      <c r="G55" s="12">
        <v>5000</v>
      </c>
      <c r="H55" s="13">
        <f t="shared" si="1"/>
        <v>31220</v>
      </c>
    </row>
    <row r="56" spans="1:8">
      <c r="A56" s="7" t="s">
        <v>199</v>
      </c>
      <c r="B56" s="7"/>
      <c r="C56" s="4" t="s">
        <v>85</v>
      </c>
      <c r="D56" s="8">
        <v>24</v>
      </c>
      <c r="E56" s="12">
        <v>390</v>
      </c>
      <c r="F56" s="12">
        <v>9360</v>
      </c>
      <c r="G56" s="12"/>
      <c r="H56" s="13">
        <f t="shared" si="1"/>
        <v>40580</v>
      </c>
    </row>
    <row r="57" spans="1:8">
      <c r="A57" s="7" t="s">
        <v>199</v>
      </c>
      <c r="B57" s="7"/>
      <c r="C57" s="4" t="s">
        <v>63</v>
      </c>
      <c r="D57" s="8">
        <v>20</v>
      </c>
      <c r="E57" s="12">
        <v>360</v>
      </c>
      <c r="F57" s="12">
        <v>7200</v>
      </c>
      <c r="G57" s="12"/>
      <c r="H57" s="13">
        <f t="shared" si="1"/>
        <v>47780</v>
      </c>
    </row>
    <row r="58" spans="1:8">
      <c r="A58" s="7" t="s">
        <v>199</v>
      </c>
      <c r="B58" s="7"/>
      <c r="C58" s="4"/>
      <c r="D58" s="8"/>
      <c r="E58" s="12"/>
      <c r="F58" s="12"/>
      <c r="G58" s="12">
        <v>5000</v>
      </c>
      <c r="H58" s="13">
        <f t="shared" si="1"/>
        <v>42780</v>
      </c>
    </row>
    <row r="59" spans="1:8">
      <c r="A59" s="7" t="s">
        <v>200</v>
      </c>
      <c r="B59" s="7" t="s">
        <v>201</v>
      </c>
      <c r="C59" s="4" t="s">
        <v>61</v>
      </c>
      <c r="D59" s="8">
        <v>8</v>
      </c>
      <c r="E59" s="12">
        <v>350</v>
      </c>
      <c r="F59" s="12">
        <v>2800</v>
      </c>
      <c r="G59" s="12"/>
      <c r="H59" s="13">
        <f t="shared" si="1"/>
        <v>45580</v>
      </c>
    </row>
    <row r="60" spans="1:8">
      <c r="A60" s="7" t="s">
        <v>200</v>
      </c>
      <c r="B60" s="7" t="s">
        <v>87</v>
      </c>
      <c r="C60" s="4" t="s">
        <v>86</v>
      </c>
      <c r="D60" s="8">
        <v>4</v>
      </c>
      <c r="E60" s="12">
        <v>380</v>
      </c>
      <c r="F60" s="12">
        <v>1520</v>
      </c>
      <c r="G60" s="12"/>
      <c r="H60" s="13">
        <f t="shared" si="1"/>
        <v>47100</v>
      </c>
    </row>
    <row r="61" spans="1:8">
      <c r="A61" s="7" t="s">
        <v>200</v>
      </c>
      <c r="B61" s="7" t="s">
        <v>189</v>
      </c>
      <c r="C61" s="4"/>
      <c r="D61" s="8"/>
      <c r="E61" s="12"/>
      <c r="F61" s="12"/>
      <c r="G61" s="12">
        <v>3000</v>
      </c>
      <c r="H61" s="13">
        <f t="shared" si="1"/>
        <v>44100</v>
      </c>
    </row>
    <row r="62" spans="1:8">
      <c r="A62" s="14">
        <v>46030</v>
      </c>
      <c r="B62" s="7" t="s">
        <v>89</v>
      </c>
      <c r="C62" s="4" t="s">
        <v>88</v>
      </c>
      <c r="D62" s="8">
        <v>4</v>
      </c>
      <c r="E62" s="12">
        <v>390</v>
      </c>
      <c r="F62" s="12">
        <v>1560</v>
      </c>
      <c r="G62" s="12"/>
      <c r="H62" s="13">
        <f t="shared" si="1"/>
        <v>45660</v>
      </c>
    </row>
    <row r="63" spans="1:8">
      <c r="A63" s="14">
        <v>46030</v>
      </c>
      <c r="B63" s="7" t="s">
        <v>89</v>
      </c>
      <c r="C63" s="4" t="s">
        <v>90</v>
      </c>
      <c r="D63" s="8">
        <v>4</v>
      </c>
      <c r="E63" s="12">
        <v>390</v>
      </c>
      <c r="F63" s="12">
        <v>1560</v>
      </c>
      <c r="G63" s="12"/>
      <c r="H63" s="13">
        <f t="shared" si="1"/>
        <v>47220</v>
      </c>
    </row>
    <row r="64" spans="1:8">
      <c r="A64" s="14">
        <v>46030</v>
      </c>
      <c r="B64" s="7" t="s">
        <v>92</v>
      </c>
      <c r="C64" s="4" t="s">
        <v>91</v>
      </c>
      <c r="D64" s="8">
        <v>7</v>
      </c>
      <c r="E64" s="12">
        <v>450</v>
      </c>
      <c r="F64" s="12">
        <v>3150</v>
      </c>
      <c r="G64" s="12"/>
      <c r="H64" s="13">
        <f t="shared" si="1"/>
        <v>50370</v>
      </c>
    </row>
    <row r="65" spans="1:8">
      <c r="A65" s="14">
        <v>46030</v>
      </c>
      <c r="B65" s="7" t="s">
        <v>202</v>
      </c>
      <c r="C65" s="4"/>
      <c r="D65" s="8"/>
      <c r="E65" s="12"/>
      <c r="F65" s="12"/>
      <c r="G65" s="12">
        <v>6300</v>
      </c>
      <c r="H65" s="13">
        <f t="shared" si="1"/>
        <v>44070</v>
      </c>
    </row>
    <row r="66" spans="1:8">
      <c r="A66" s="14">
        <v>46030</v>
      </c>
      <c r="B66" s="7" t="s">
        <v>136</v>
      </c>
      <c r="C66" s="4"/>
      <c r="D66" s="8"/>
      <c r="E66" s="12"/>
      <c r="F66" s="12"/>
      <c r="G66" s="12">
        <v>5000</v>
      </c>
      <c r="H66" s="13">
        <f t="shared" si="1"/>
        <v>39070</v>
      </c>
    </row>
    <row r="67" spans="1:8">
      <c r="A67" s="11"/>
      <c r="B67" s="7" t="s">
        <v>203</v>
      </c>
      <c r="C67" s="4" t="s">
        <v>61</v>
      </c>
      <c r="D67" s="8">
        <v>4</v>
      </c>
      <c r="E67" s="12">
        <v>350</v>
      </c>
      <c r="F67" s="12">
        <v>1400</v>
      </c>
      <c r="G67" s="12"/>
      <c r="H67" s="13">
        <f t="shared" si="1"/>
        <v>40470</v>
      </c>
    </row>
    <row r="68" spans="1:8">
      <c r="A68" s="11"/>
      <c r="B68" s="7" t="s">
        <v>136</v>
      </c>
      <c r="C68" s="4"/>
      <c r="D68" s="8"/>
      <c r="E68" s="12"/>
      <c r="F68" s="12"/>
      <c r="G68" s="12">
        <v>3000</v>
      </c>
      <c r="H68" s="13">
        <f t="shared" ref="H68:H99" si="2">IF(AND($B68="",$C68="",$F68="",$G68=""),$H67,$H67+IF($F68="",0,$F68)-IF($G68="",0,$G68))</f>
        <v>37470</v>
      </c>
    </row>
    <row r="69" spans="1:8">
      <c r="A69" s="11"/>
      <c r="B69" s="7" t="s">
        <v>136</v>
      </c>
      <c r="C69" s="4"/>
      <c r="D69" s="8"/>
      <c r="E69" s="12"/>
      <c r="F69" s="12"/>
      <c r="G69" s="12">
        <v>10000</v>
      </c>
      <c r="H69" s="13">
        <f t="shared" si="2"/>
        <v>27470</v>
      </c>
    </row>
    <row r="70" spans="1:8">
      <c r="A70" s="11"/>
      <c r="B70" s="7" t="s">
        <v>87</v>
      </c>
      <c r="C70" s="4" t="s">
        <v>93</v>
      </c>
      <c r="D70" s="8">
        <v>28</v>
      </c>
      <c r="E70" s="12">
        <v>355</v>
      </c>
      <c r="F70" s="12">
        <v>9940</v>
      </c>
      <c r="G70" s="12"/>
      <c r="H70" s="13">
        <f t="shared" si="2"/>
        <v>37410</v>
      </c>
    </row>
    <row r="71" spans="1:8">
      <c r="A71" s="7" t="s">
        <v>132</v>
      </c>
      <c r="B71" s="7" t="s">
        <v>95</v>
      </c>
      <c r="C71" s="4" t="s">
        <v>94</v>
      </c>
      <c r="D71" s="8"/>
      <c r="E71" s="12"/>
      <c r="F71" s="12">
        <v>5000</v>
      </c>
      <c r="G71" s="12"/>
      <c r="H71" s="13">
        <f t="shared" si="2"/>
        <v>42410</v>
      </c>
    </row>
    <row r="72" spans="1:8">
      <c r="A72" s="7" t="s">
        <v>132</v>
      </c>
      <c r="B72" s="7" t="s">
        <v>97</v>
      </c>
      <c r="C72" s="4" t="s">
        <v>96</v>
      </c>
      <c r="D72" s="8"/>
      <c r="E72" s="12"/>
      <c r="F72" s="12">
        <v>5000</v>
      </c>
      <c r="G72" s="12"/>
      <c r="H72" s="13">
        <f t="shared" si="2"/>
        <v>47410</v>
      </c>
    </row>
    <row r="73" spans="1:8">
      <c r="A73" s="16" t="s">
        <v>132</v>
      </c>
      <c r="B73" s="7" t="s">
        <v>204</v>
      </c>
      <c r="C73" s="4"/>
      <c r="D73" s="8"/>
      <c r="E73" s="12"/>
      <c r="F73" s="12"/>
      <c r="G73" s="12">
        <v>10000</v>
      </c>
      <c r="H73" s="13">
        <f t="shared" si="2"/>
        <v>37410</v>
      </c>
    </row>
    <row r="74" spans="1:8">
      <c r="A74" s="16" t="s">
        <v>205</v>
      </c>
      <c r="B74" s="7" t="s">
        <v>136</v>
      </c>
      <c r="C74" s="4"/>
      <c r="D74" s="8"/>
      <c r="E74" s="12"/>
      <c r="F74" s="12"/>
      <c r="G74" s="12">
        <v>5000</v>
      </c>
      <c r="H74" s="13">
        <f t="shared" si="2"/>
        <v>32410</v>
      </c>
    </row>
    <row r="75" spans="1:8">
      <c r="A75" s="16" t="s">
        <v>205</v>
      </c>
      <c r="B75" s="7" t="s">
        <v>203</v>
      </c>
      <c r="C75" s="4" t="s">
        <v>61</v>
      </c>
      <c r="D75" s="8">
        <v>11</v>
      </c>
      <c r="E75" s="12">
        <v>350</v>
      </c>
      <c r="F75" s="12">
        <v>3850</v>
      </c>
      <c r="G75" s="12"/>
      <c r="H75" s="13">
        <f t="shared" si="2"/>
        <v>36260</v>
      </c>
    </row>
    <row r="76" spans="1:8">
      <c r="A76" s="16" t="s">
        <v>206</v>
      </c>
      <c r="B76" s="7" t="s">
        <v>136</v>
      </c>
      <c r="C76" s="4"/>
      <c r="D76" s="8"/>
      <c r="E76" s="12"/>
      <c r="F76" s="12"/>
      <c r="G76" s="12">
        <v>1000</v>
      </c>
      <c r="H76" s="13">
        <f t="shared" si="2"/>
        <v>35260</v>
      </c>
    </row>
    <row r="77" spans="1:8">
      <c r="A77" s="16" t="s">
        <v>207</v>
      </c>
      <c r="B77" s="7" t="s">
        <v>99</v>
      </c>
      <c r="C77" s="4" t="s">
        <v>98</v>
      </c>
      <c r="D77" s="8">
        <v>7</v>
      </c>
      <c r="E77" s="12">
        <v>285</v>
      </c>
      <c r="F77" s="12">
        <v>1995</v>
      </c>
      <c r="G77" s="12"/>
      <c r="H77" s="13">
        <f t="shared" si="2"/>
        <v>37255</v>
      </c>
    </row>
    <row r="78" spans="1:8">
      <c r="A78" s="16" t="s">
        <v>207</v>
      </c>
      <c r="B78" s="7" t="s">
        <v>208</v>
      </c>
      <c r="C78" s="4" t="s">
        <v>98</v>
      </c>
      <c r="D78" s="8">
        <v>18</v>
      </c>
      <c r="E78" s="12">
        <v>360</v>
      </c>
      <c r="F78" s="12">
        <v>6480</v>
      </c>
      <c r="G78" s="12"/>
      <c r="H78" s="13">
        <f t="shared" si="2"/>
        <v>43735</v>
      </c>
    </row>
    <row r="79" spans="1:8">
      <c r="A79" s="16" t="s">
        <v>207</v>
      </c>
      <c r="B79" s="7" t="s">
        <v>136</v>
      </c>
      <c r="C79" s="4"/>
      <c r="D79" s="8"/>
      <c r="E79" s="12"/>
      <c r="F79" s="12"/>
      <c r="G79" s="12">
        <v>7575</v>
      </c>
      <c r="H79" s="13">
        <f t="shared" si="2"/>
        <v>36160</v>
      </c>
    </row>
    <row r="80" spans="1:8">
      <c r="A80" s="16" t="s">
        <v>207</v>
      </c>
      <c r="B80" s="7" t="s">
        <v>209</v>
      </c>
      <c r="C80" s="4"/>
      <c r="D80" s="8"/>
      <c r="E80" s="12"/>
      <c r="F80" s="12"/>
      <c r="G80" s="12">
        <v>900</v>
      </c>
      <c r="H80" s="13">
        <f t="shared" si="2"/>
        <v>35260</v>
      </c>
    </row>
    <row r="81" spans="1:8">
      <c r="A81" s="16" t="s">
        <v>207</v>
      </c>
      <c r="B81" s="7" t="s">
        <v>210</v>
      </c>
      <c r="C81" s="4" t="s">
        <v>77</v>
      </c>
      <c r="D81" s="8">
        <v>8</v>
      </c>
      <c r="E81" s="12">
        <v>360</v>
      </c>
      <c r="F81" s="12">
        <v>2880</v>
      </c>
      <c r="G81" s="12"/>
      <c r="H81" s="13">
        <f t="shared" si="2"/>
        <v>38140</v>
      </c>
    </row>
    <row r="82" spans="1:8">
      <c r="A82" s="16" t="s">
        <v>207</v>
      </c>
      <c r="B82" s="7" t="s">
        <v>101</v>
      </c>
      <c r="C82" s="4" t="s">
        <v>100</v>
      </c>
      <c r="D82" s="8">
        <v>16</v>
      </c>
      <c r="E82" s="12">
        <v>360</v>
      </c>
      <c r="F82" s="12">
        <v>5760</v>
      </c>
      <c r="G82" s="12"/>
      <c r="H82" s="13">
        <f t="shared" si="2"/>
        <v>43900</v>
      </c>
    </row>
    <row r="83" spans="1:8">
      <c r="A83" s="16" t="s">
        <v>211</v>
      </c>
      <c r="B83" s="7" t="s">
        <v>136</v>
      </c>
      <c r="C83" s="4"/>
      <c r="D83" s="8"/>
      <c r="E83" s="12"/>
      <c r="F83" s="12"/>
      <c r="G83" s="12">
        <v>7000</v>
      </c>
      <c r="H83" s="13">
        <f t="shared" si="2"/>
        <v>36900</v>
      </c>
    </row>
    <row r="84" spans="1:8">
      <c r="A84" s="16" t="s">
        <v>211</v>
      </c>
      <c r="B84" s="7" t="s">
        <v>103</v>
      </c>
      <c r="C84" s="4" t="s">
        <v>102</v>
      </c>
      <c r="D84" s="8">
        <v>12</v>
      </c>
      <c r="E84" s="12">
        <v>360</v>
      </c>
      <c r="F84" s="12">
        <v>4320</v>
      </c>
      <c r="G84" s="12"/>
      <c r="H84" s="13">
        <f t="shared" si="2"/>
        <v>41220</v>
      </c>
    </row>
    <row r="85" spans="1:8">
      <c r="A85" s="16" t="s">
        <v>211</v>
      </c>
      <c r="B85" s="7" t="s">
        <v>105</v>
      </c>
      <c r="C85" s="4" t="s">
        <v>104</v>
      </c>
      <c r="D85" s="8">
        <v>8</v>
      </c>
      <c r="E85" s="12">
        <v>360</v>
      </c>
      <c r="F85" s="12">
        <v>2880</v>
      </c>
      <c r="G85" s="12"/>
      <c r="H85" s="13">
        <f t="shared" si="2"/>
        <v>44100</v>
      </c>
    </row>
    <row r="86" spans="1:8">
      <c r="A86" s="7"/>
      <c r="B86" s="7"/>
      <c r="C86" s="4"/>
      <c r="D86" s="8"/>
      <c r="E86" s="12"/>
      <c r="F86" s="12"/>
      <c r="G86" s="12"/>
      <c r="H86" s="13">
        <f t="shared" si="2"/>
        <v>44100</v>
      </c>
    </row>
    <row r="87" spans="1:8">
      <c r="A87" s="7"/>
      <c r="B87" s="7"/>
      <c r="C87" s="4"/>
      <c r="D87" s="8"/>
      <c r="E87" s="12"/>
      <c r="F87" s="12"/>
      <c r="G87" s="12"/>
      <c r="H87" s="13">
        <f t="shared" si="2"/>
        <v>44100</v>
      </c>
    </row>
    <row r="88" spans="1:8">
      <c r="A88" s="7"/>
      <c r="B88" s="7"/>
      <c r="C88" s="4"/>
      <c r="D88" s="8"/>
      <c r="E88" s="12"/>
      <c r="F88" s="12"/>
      <c r="G88" s="12"/>
      <c r="H88" s="13">
        <f t="shared" si="2"/>
        <v>44100</v>
      </c>
    </row>
    <row r="89" spans="1:8">
      <c r="A89" s="7"/>
      <c r="B89" s="7"/>
      <c r="C89" s="4"/>
      <c r="D89" s="8"/>
      <c r="E89" s="12"/>
      <c r="F89" s="12"/>
      <c r="G89" s="12"/>
      <c r="H89" s="13">
        <f t="shared" si="2"/>
        <v>44100</v>
      </c>
    </row>
    <row r="90" spans="1:8">
      <c r="A90" s="7"/>
      <c r="B90" s="7"/>
      <c r="C90" s="4"/>
      <c r="D90" s="8"/>
      <c r="E90" s="12"/>
      <c r="F90" s="12"/>
      <c r="G90" s="12"/>
      <c r="H90" s="13">
        <f t="shared" si="2"/>
        <v>44100</v>
      </c>
    </row>
    <row r="91" spans="1:8">
      <c r="A91" s="7"/>
      <c r="B91" s="7"/>
      <c r="C91" s="4"/>
      <c r="D91" s="8"/>
      <c r="E91" s="12"/>
      <c r="F91" s="12"/>
      <c r="G91" s="12"/>
      <c r="H91" s="13">
        <f t="shared" si="2"/>
        <v>44100</v>
      </c>
    </row>
    <row r="92" spans="1:8">
      <c r="A92" s="7"/>
      <c r="B92" s="7"/>
      <c r="C92" s="4"/>
      <c r="D92" s="8"/>
      <c r="E92" s="12"/>
      <c r="F92" s="12"/>
      <c r="G92" s="12"/>
      <c r="H92" s="13">
        <f t="shared" si="2"/>
        <v>44100</v>
      </c>
    </row>
    <row r="93" spans="1:8">
      <c r="A93" s="7"/>
      <c r="B93" s="7"/>
      <c r="C93" s="4"/>
      <c r="D93" s="8"/>
      <c r="E93" s="12"/>
      <c r="F93" s="12"/>
      <c r="G93" s="12"/>
      <c r="H93" s="13">
        <f t="shared" si="2"/>
        <v>44100</v>
      </c>
    </row>
    <row r="94" spans="1:8">
      <c r="A94" s="7"/>
      <c r="B94" s="7"/>
      <c r="C94" s="4"/>
      <c r="D94" s="8"/>
      <c r="E94" s="12"/>
      <c r="F94" s="12"/>
      <c r="G94" s="12"/>
      <c r="H94" s="13">
        <f t="shared" si="2"/>
        <v>44100</v>
      </c>
    </row>
    <row r="95" spans="1:8">
      <c r="A95" s="7"/>
      <c r="B95" s="7"/>
      <c r="C95" s="4"/>
      <c r="D95" s="8"/>
      <c r="E95" s="12"/>
      <c r="F95" s="12"/>
      <c r="G95" s="12"/>
      <c r="H95" s="13">
        <f t="shared" si="2"/>
        <v>44100</v>
      </c>
    </row>
    <row r="96" spans="1:8">
      <c r="A96" s="7"/>
      <c r="B96" s="7"/>
      <c r="C96" s="4"/>
      <c r="D96" s="8"/>
      <c r="E96" s="12"/>
      <c r="F96" s="12"/>
      <c r="G96" s="12"/>
      <c r="H96" s="13">
        <f t="shared" si="2"/>
        <v>44100</v>
      </c>
    </row>
    <row r="97" spans="1:8">
      <c r="A97" s="7"/>
      <c r="B97" s="7"/>
      <c r="C97" s="4"/>
      <c r="D97" s="8"/>
      <c r="E97" s="12"/>
      <c r="F97" s="12"/>
      <c r="G97" s="12"/>
      <c r="H97" s="13">
        <f t="shared" si="2"/>
        <v>44100</v>
      </c>
    </row>
    <row r="98" spans="1:8">
      <c r="A98" s="7"/>
      <c r="B98" s="7"/>
      <c r="C98" s="4"/>
      <c r="D98" s="8"/>
      <c r="E98" s="12"/>
      <c r="F98" s="12"/>
      <c r="G98" s="12"/>
      <c r="H98" s="13">
        <f t="shared" si="2"/>
        <v>44100</v>
      </c>
    </row>
    <row r="99" spans="1:8">
      <c r="A99" s="7"/>
      <c r="B99" s="7"/>
      <c r="C99" s="4"/>
      <c r="D99" s="8"/>
      <c r="E99" s="12"/>
      <c r="F99" s="12"/>
      <c r="G99" s="12"/>
      <c r="H99" s="13">
        <f t="shared" si="2"/>
        <v>44100</v>
      </c>
    </row>
    <row r="100" spans="1:8">
      <c r="A100" s="7"/>
      <c r="B100" s="7"/>
      <c r="C100" s="4"/>
      <c r="D100" s="8"/>
      <c r="E100" s="12"/>
      <c r="F100" s="12"/>
      <c r="G100" s="12"/>
      <c r="H100" s="13">
        <f t="shared" ref="H100:H105" si="3">IF(AND($B100="",$C100="",$F100="",$G100=""),$H99,$H99+IF($F100="",0,$F100)-IF($G100="",0,$G100))</f>
        <v>44100</v>
      </c>
    </row>
    <row r="101" spans="1:8">
      <c r="A101" s="7"/>
      <c r="B101" s="7"/>
      <c r="C101" s="4"/>
      <c r="D101" s="8"/>
      <c r="E101" s="12"/>
      <c r="F101" s="12"/>
      <c r="G101" s="12"/>
      <c r="H101" s="13">
        <f t="shared" si="3"/>
        <v>44100</v>
      </c>
    </row>
    <row r="102" spans="1:8">
      <c r="A102" s="7"/>
      <c r="B102" s="7"/>
      <c r="C102" s="4"/>
      <c r="D102" s="8"/>
      <c r="E102" s="12"/>
      <c r="F102" s="12"/>
      <c r="G102" s="12"/>
      <c r="H102" s="13">
        <f t="shared" si="3"/>
        <v>44100</v>
      </c>
    </row>
    <row r="103" spans="1:8">
      <c r="A103" s="7"/>
      <c r="B103" s="7"/>
      <c r="C103" s="4"/>
      <c r="D103" s="8"/>
      <c r="E103" s="12"/>
      <c r="F103" s="12"/>
      <c r="G103" s="12"/>
      <c r="H103" s="13">
        <f t="shared" si="3"/>
        <v>44100</v>
      </c>
    </row>
    <row r="104" spans="1:8">
      <c r="A104" s="7"/>
      <c r="B104" s="7"/>
      <c r="C104" s="4"/>
      <c r="D104" s="8"/>
      <c r="E104" s="12"/>
      <c r="F104" s="12"/>
      <c r="G104" s="12"/>
      <c r="H104" s="13">
        <f t="shared" si="3"/>
        <v>44100</v>
      </c>
    </row>
    <row r="105" spans="1:8">
      <c r="A105" s="7"/>
      <c r="B105" s="7"/>
      <c r="C105" s="4"/>
      <c r="D105" s="8"/>
      <c r="E105" s="12"/>
      <c r="F105" s="12"/>
      <c r="G105" s="12"/>
      <c r="H105" s="13">
        <f t="shared" si="3"/>
        <v>44100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كود غير صحيح" error="الكود غير موجود في شيت المخزن - أضفه هناك أولاً" xr:uid="{00000000-0002-0000-0400-000000000000}">
          <x14:formula1>
            <xm:f>المخزن!$A$3:$A$43</xm:f>
          </x14:formula1>
          <x14:formula2>
            <xm:f>0</xm:f>
          </x14:formula2>
          <xm:sqref>C3:C105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4"/>
  <sheetViews>
    <sheetView rightToLeft="1" zoomScaleNormal="100" workbookViewId="0">
      <pane ySplit="2" topLeftCell="A3" activePane="bottomLeft" state="frozen"/>
      <selection pane="bottomLeft" activeCell="A9" sqref="A9"/>
    </sheetView>
  </sheetViews>
  <sheetFormatPr defaultColWidth="8.6640625" defaultRowHeight="14.4"/>
  <cols>
    <col min="1" max="1" width="12" customWidth="1"/>
    <col min="2" max="2" width="30" customWidth="1"/>
    <col min="3" max="3" width="10" customWidth="1"/>
    <col min="4" max="4" width="8" customWidth="1"/>
    <col min="5" max="5" width="10" customWidth="1"/>
    <col min="6" max="8" width="12" customWidth="1"/>
  </cols>
  <sheetData>
    <row r="1" spans="1:8" ht="17.399999999999999" customHeight="1">
      <c r="A1" s="2" t="s">
        <v>212</v>
      </c>
      <c r="B1" s="2"/>
      <c r="C1" s="2"/>
      <c r="D1" s="2"/>
      <c r="E1" s="2"/>
      <c r="F1" s="2"/>
      <c r="G1" s="2"/>
      <c r="H1" s="2"/>
    </row>
    <row r="2" spans="1:8">
      <c r="A2" s="3" t="s">
        <v>125</v>
      </c>
      <c r="B2" s="3" t="s">
        <v>126</v>
      </c>
      <c r="C2" s="3" t="s">
        <v>1</v>
      </c>
      <c r="D2" s="3" t="s">
        <v>127</v>
      </c>
      <c r="E2" s="3" t="s">
        <v>128</v>
      </c>
      <c r="F2" s="3" t="s">
        <v>129</v>
      </c>
      <c r="G2" s="3" t="s">
        <v>130</v>
      </c>
      <c r="H2" s="3" t="s">
        <v>131</v>
      </c>
    </row>
    <row r="3" spans="1:8">
      <c r="A3" s="11"/>
      <c r="B3" s="7" t="s">
        <v>213</v>
      </c>
      <c r="C3" s="4"/>
      <c r="D3" s="8"/>
      <c r="E3" s="12"/>
      <c r="F3" s="12">
        <v>159005</v>
      </c>
      <c r="G3" s="12">
        <v>136455</v>
      </c>
      <c r="H3" s="13">
        <f>IF(AND($B3="",$C3="",$F3="",$G3=""),0,0+IF($F3="",0,$F3)-IF($G3="",0,$G3))</f>
        <v>22550</v>
      </c>
    </row>
    <row r="4" spans="1:8">
      <c r="A4" s="7" t="s">
        <v>145</v>
      </c>
      <c r="B4" s="7"/>
      <c r="C4" s="4"/>
      <c r="D4" s="8"/>
      <c r="E4" s="12"/>
      <c r="F4" s="12"/>
      <c r="G4" s="12">
        <v>800</v>
      </c>
      <c r="H4" s="13">
        <f t="shared" ref="H4:H24" si="0">IF(AND($B4="",$C4="",$F4="",$G4=""),$H3,$H3+IF($F4="",0,$F4)-IF($G4="",0,$G4))</f>
        <v>21750</v>
      </c>
    </row>
    <row r="5" spans="1:8">
      <c r="A5" s="7"/>
      <c r="B5" s="7"/>
      <c r="C5" s="4"/>
      <c r="D5" s="8"/>
      <c r="E5" s="12"/>
      <c r="F5" s="12"/>
      <c r="G5" s="12"/>
      <c r="H5" s="13">
        <f t="shared" si="0"/>
        <v>21750</v>
      </c>
    </row>
    <row r="6" spans="1:8">
      <c r="A6" s="7"/>
      <c r="B6" s="7"/>
      <c r="C6" s="4"/>
      <c r="D6" s="8"/>
      <c r="E6" s="12"/>
      <c r="F6" s="12"/>
      <c r="G6" s="12"/>
      <c r="H6" s="13">
        <f t="shared" si="0"/>
        <v>21750</v>
      </c>
    </row>
    <row r="7" spans="1:8">
      <c r="A7" s="7"/>
      <c r="B7" s="7"/>
      <c r="C7" s="4"/>
      <c r="D7" s="8"/>
      <c r="E7" s="12"/>
      <c r="F7" s="12"/>
      <c r="G7" s="12"/>
      <c r="H7" s="13">
        <f t="shared" si="0"/>
        <v>21750</v>
      </c>
    </row>
    <row r="8" spans="1:8">
      <c r="A8" s="7"/>
      <c r="B8" s="7"/>
      <c r="C8" s="4"/>
      <c r="D8" s="8"/>
      <c r="E8" s="12"/>
      <c r="F8" s="12"/>
      <c r="G8" s="12"/>
      <c r="H8" s="13">
        <f t="shared" si="0"/>
        <v>21750</v>
      </c>
    </row>
    <row r="9" spans="1:8">
      <c r="A9" s="7"/>
      <c r="B9" s="7"/>
      <c r="C9" s="4"/>
      <c r="D9" s="8"/>
      <c r="E9" s="12"/>
      <c r="F9" s="12"/>
      <c r="G9" s="12"/>
      <c r="H9" s="13">
        <f t="shared" si="0"/>
        <v>21750</v>
      </c>
    </row>
    <row r="10" spans="1:8">
      <c r="A10" s="7"/>
      <c r="B10" s="7"/>
      <c r="C10" s="4"/>
      <c r="D10" s="8"/>
      <c r="E10" s="12"/>
      <c r="F10" s="12"/>
      <c r="G10" s="12"/>
      <c r="H10" s="13">
        <f t="shared" si="0"/>
        <v>21750</v>
      </c>
    </row>
    <row r="11" spans="1:8">
      <c r="A11" s="7"/>
      <c r="B11" s="7"/>
      <c r="C11" s="4"/>
      <c r="D11" s="8"/>
      <c r="E11" s="12"/>
      <c r="F11" s="12"/>
      <c r="G11" s="12"/>
      <c r="H11" s="13">
        <f t="shared" si="0"/>
        <v>21750</v>
      </c>
    </row>
    <row r="12" spans="1:8">
      <c r="A12" s="7"/>
      <c r="B12" s="7"/>
      <c r="C12" s="4"/>
      <c r="D12" s="8"/>
      <c r="E12" s="12"/>
      <c r="F12" s="12"/>
      <c r="G12" s="12"/>
      <c r="H12" s="13">
        <f t="shared" si="0"/>
        <v>21750</v>
      </c>
    </row>
    <row r="13" spans="1:8">
      <c r="A13" s="7"/>
      <c r="B13" s="7"/>
      <c r="C13" s="4"/>
      <c r="D13" s="8"/>
      <c r="E13" s="12"/>
      <c r="F13" s="12"/>
      <c r="G13" s="12"/>
      <c r="H13" s="13">
        <f t="shared" si="0"/>
        <v>21750</v>
      </c>
    </row>
    <row r="14" spans="1:8">
      <c r="A14" s="7"/>
      <c r="B14" s="7"/>
      <c r="C14" s="4"/>
      <c r="D14" s="8"/>
      <c r="E14" s="12"/>
      <c r="F14" s="12"/>
      <c r="G14" s="12"/>
      <c r="H14" s="13">
        <f t="shared" si="0"/>
        <v>21750</v>
      </c>
    </row>
    <row r="15" spans="1:8">
      <c r="A15" s="7"/>
      <c r="B15" s="7"/>
      <c r="C15" s="4"/>
      <c r="D15" s="8"/>
      <c r="E15" s="12"/>
      <c r="F15" s="12"/>
      <c r="G15" s="12"/>
      <c r="H15" s="13">
        <f t="shared" si="0"/>
        <v>21750</v>
      </c>
    </row>
    <row r="16" spans="1:8">
      <c r="A16" s="7"/>
      <c r="B16" s="7"/>
      <c r="C16" s="4"/>
      <c r="D16" s="8"/>
      <c r="E16" s="12"/>
      <c r="F16" s="12"/>
      <c r="G16" s="12"/>
      <c r="H16" s="13">
        <f t="shared" si="0"/>
        <v>21750</v>
      </c>
    </row>
    <row r="17" spans="1:8">
      <c r="A17" s="7"/>
      <c r="B17" s="7"/>
      <c r="C17" s="4"/>
      <c r="D17" s="8"/>
      <c r="E17" s="12"/>
      <c r="F17" s="12"/>
      <c r="G17" s="12"/>
      <c r="H17" s="13">
        <f t="shared" si="0"/>
        <v>21750</v>
      </c>
    </row>
    <row r="18" spans="1:8">
      <c r="A18" s="7"/>
      <c r="B18" s="7"/>
      <c r="C18" s="4"/>
      <c r="D18" s="8"/>
      <c r="E18" s="12"/>
      <c r="F18" s="12"/>
      <c r="G18" s="12"/>
      <c r="H18" s="13">
        <f t="shared" si="0"/>
        <v>21750</v>
      </c>
    </row>
    <row r="19" spans="1:8">
      <c r="A19" s="7"/>
      <c r="B19" s="7"/>
      <c r="C19" s="4"/>
      <c r="D19" s="8"/>
      <c r="E19" s="12"/>
      <c r="F19" s="12"/>
      <c r="G19" s="12"/>
      <c r="H19" s="13">
        <f t="shared" si="0"/>
        <v>21750</v>
      </c>
    </row>
    <row r="20" spans="1:8">
      <c r="A20" s="7"/>
      <c r="B20" s="7"/>
      <c r="C20" s="4"/>
      <c r="D20" s="8"/>
      <c r="E20" s="12"/>
      <c r="F20" s="12"/>
      <c r="G20" s="12"/>
      <c r="H20" s="13">
        <f t="shared" si="0"/>
        <v>21750</v>
      </c>
    </row>
    <row r="21" spans="1:8">
      <c r="A21" s="7"/>
      <c r="B21" s="7"/>
      <c r="C21" s="4"/>
      <c r="D21" s="8"/>
      <c r="E21" s="12"/>
      <c r="F21" s="12"/>
      <c r="G21" s="12"/>
      <c r="H21" s="13">
        <f t="shared" si="0"/>
        <v>21750</v>
      </c>
    </row>
    <row r="22" spans="1:8">
      <c r="A22" s="7"/>
      <c r="B22" s="7"/>
      <c r="C22" s="4"/>
      <c r="D22" s="8"/>
      <c r="E22" s="12"/>
      <c r="F22" s="12"/>
      <c r="G22" s="12"/>
      <c r="H22" s="13">
        <f t="shared" si="0"/>
        <v>21750</v>
      </c>
    </row>
    <row r="23" spans="1:8">
      <c r="A23" s="7"/>
      <c r="B23" s="7"/>
      <c r="C23" s="4"/>
      <c r="D23" s="8"/>
      <c r="E23" s="12"/>
      <c r="F23" s="12"/>
      <c r="G23" s="12"/>
      <c r="H23" s="13">
        <f t="shared" si="0"/>
        <v>21750</v>
      </c>
    </row>
    <row r="24" spans="1:8">
      <c r="A24" s="7"/>
      <c r="B24" s="7"/>
      <c r="C24" s="4"/>
      <c r="D24" s="8"/>
      <c r="E24" s="12"/>
      <c r="F24" s="12"/>
      <c r="G24" s="12"/>
      <c r="H24" s="13">
        <f t="shared" si="0"/>
        <v>21750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كود غير صحيح" error="الكود غير موجود في شيت المخزن - أضفه هناك أولاً" xr:uid="{00000000-0002-0000-0500-000000000000}">
          <x14:formula1>
            <xm:f>المخزن!$A$3:$A$43</xm:f>
          </x14:formula1>
          <x14:formula2>
            <xm:f>0</xm:f>
          </x14:formula2>
          <xm:sqref>C3:C24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5"/>
  <sheetViews>
    <sheetView rightToLeft="1" zoomScaleNormal="100" workbookViewId="0">
      <pane ySplit="2" topLeftCell="A3" activePane="bottomLeft" state="frozen"/>
      <selection pane="bottomLeft" sqref="A1:H1"/>
    </sheetView>
  </sheetViews>
  <sheetFormatPr defaultColWidth="8.6640625" defaultRowHeight="14.4"/>
  <cols>
    <col min="1" max="1" width="12" customWidth="1"/>
    <col min="2" max="2" width="30" customWidth="1"/>
    <col min="3" max="3" width="10" customWidth="1"/>
    <col min="4" max="4" width="8" customWidth="1"/>
    <col min="5" max="5" width="10" customWidth="1"/>
    <col min="6" max="8" width="12" customWidth="1"/>
  </cols>
  <sheetData>
    <row r="1" spans="1:8" ht="17.399999999999999" customHeight="1">
      <c r="A1" s="2" t="s">
        <v>214</v>
      </c>
      <c r="B1" s="2"/>
      <c r="C1" s="2"/>
      <c r="D1" s="2"/>
      <c r="E1" s="2"/>
      <c r="F1" s="2"/>
      <c r="G1" s="2"/>
      <c r="H1" s="2"/>
    </row>
    <row r="2" spans="1:8">
      <c r="A2" s="3" t="s">
        <v>125</v>
      </c>
      <c r="B2" s="3" t="s">
        <v>126</v>
      </c>
      <c r="C2" s="3" t="s">
        <v>1</v>
      </c>
      <c r="D2" s="3" t="s">
        <v>127</v>
      </c>
      <c r="E2" s="3" t="s">
        <v>128</v>
      </c>
      <c r="F2" s="3" t="s">
        <v>129</v>
      </c>
      <c r="G2" s="3" t="s">
        <v>130</v>
      </c>
      <c r="H2" s="3" t="s">
        <v>131</v>
      </c>
    </row>
    <row r="3" spans="1:8">
      <c r="A3" s="7" t="s">
        <v>166</v>
      </c>
      <c r="B3" s="7" t="s">
        <v>141</v>
      </c>
      <c r="C3" s="4" t="s">
        <v>39</v>
      </c>
      <c r="D3" s="8">
        <v>8</v>
      </c>
      <c r="E3" s="12">
        <v>380</v>
      </c>
      <c r="F3" s="12">
        <v>3040</v>
      </c>
      <c r="G3" s="12"/>
      <c r="H3" s="13">
        <f>IF(AND($B3="",$C3="",$F3="",$G3=""),0,0+IF($F3="",0,$F3)-IF($G3="",0,$G3))</f>
        <v>3040</v>
      </c>
    </row>
    <row r="4" spans="1:8">
      <c r="A4" s="7" t="s">
        <v>166</v>
      </c>
      <c r="B4" s="7" t="s">
        <v>140</v>
      </c>
      <c r="C4" s="4" t="s">
        <v>41</v>
      </c>
      <c r="D4" s="8">
        <v>8</v>
      </c>
      <c r="E4" s="12">
        <v>320</v>
      </c>
      <c r="F4" s="12">
        <v>2560</v>
      </c>
      <c r="G4" s="12"/>
      <c r="H4" s="13">
        <f t="shared" ref="H4:H25" si="0">IF(AND($B4="",$C4="",$F4="",$G4=""),$H3,$H3+IF($F4="",0,$F4)-IF($G4="",0,$G4))</f>
        <v>5600</v>
      </c>
    </row>
    <row r="5" spans="1:8">
      <c r="A5" s="7" t="s">
        <v>166</v>
      </c>
      <c r="B5" s="7"/>
      <c r="C5" s="4"/>
      <c r="D5" s="8"/>
      <c r="E5" s="12"/>
      <c r="F5" s="12"/>
      <c r="G5" s="12">
        <v>5600</v>
      </c>
      <c r="H5" s="13">
        <f t="shared" si="0"/>
        <v>0</v>
      </c>
    </row>
    <row r="6" spans="1:8">
      <c r="A6" s="7"/>
      <c r="B6" s="7"/>
      <c r="C6" s="4"/>
      <c r="D6" s="8"/>
      <c r="E6" s="12"/>
      <c r="F6" s="12"/>
      <c r="G6" s="12"/>
      <c r="H6" s="13">
        <f t="shared" si="0"/>
        <v>0</v>
      </c>
    </row>
    <row r="7" spans="1:8">
      <c r="A7" s="7"/>
      <c r="B7" s="7"/>
      <c r="C7" s="4"/>
      <c r="D7" s="8"/>
      <c r="E7" s="12"/>
      <c r="F7" s="12"/>
      <c r="G7" s="12"/>
      <c r="H7" s="13">
        <f t="shared" si="0"/>
        <v>0</v>
      </c>
    </row>
    <row r="8" spans="1:8">
      <c r="A8" s="7"/>
      <c r="B8" s="7"/>
      <c r="C8" s="4"/>
      <c r="D8" s="8"/>
      <c r="E8" s="12"/>
      <c r="F8" s="12"/>
      <c r="G8" s="12"/>
      <c r="H8" s="13">
        <f t="shared" si="0"/>
        <v>0</v>
      </c>
    </row>
    <row r="9" spans="1:8">
      <c r="A9" s="7"/>
      <c r="B9" s="7"/>
      <c r="C9" s="4"/>
      <c r="D9" s="8"/>
      <c r="E9" s="12"/>
      <c r="F9" s="12"/>
      <c r="G9" s="12"/>
      <c r="H9" s="13">
        <f t="shared" si="0"/>
        <v>0</v>
      </c>
    </row>
    <row r="10" spans="1:8">
      <c r="A10" s="7"/>
      <c r="B10" s="7"/>
      <c r="C10" s="4"/>
      <c r="D10" s="8"/>
      <c r="E10" s="12"/>
      <c r="F10" s="12"/>
      <c r="G10" s="12"/>
      <c r="H10" s="13">
        <f t="shared" si="0"/>
        <v>0</v>
      </c>
    </row>
    <row r="11" spans="1:8">
      <c r="A11" s="7"/>
      <c r="B11" s="7"/>
      <c r="C11" s="4"/>
      <c r="D11" s="8"/>
      <c r="E11" s="12"/>
      <c r="F11" s="12"/>
      <c r="G11" s="12"/>
      <c r="H11" s="13">
        <f t="shared" si="0"/>
        <v>0</v>
      </c>
    </row>
    <row r="12" spans="1:8">
      <c r="A12" s="7"/>
      <c r="B12" s="7"/>
      <c r="C12" s="4"/>
      <c r="D12" s="8"/>
      <c r="E12" s="12"/>
      <c r="F12" s="12"/>
      <c r="G12" s="12"/>
      <c r="H12" s="13">
        <f t="shared" si="0"/>
        <v>0</v>
      </c>
    </row>
    <row r="13" spans="1:8">
      <c r="A13" s="7"/>
      <c r="B13" s="7"/>
      <c r="C13" s="4"/>
      <c r="D13" s="8"/>
      <c r="E13" s="12"/>
      <c r="F13" s="12"/>
      <c r="G13" s="12"/>
      <c r="H13" s="13">
        <f t="shared" si="0"/>
        <v>0</v>
      </c>
    </row>
    <row r="14" spans="1:8">
      <c r="A14" s="7"/>
      <c r="B14" s="7"/>
      <c r="C14" s="4"/>
      <c r="D14" s="8"/>
      <c r="E14" s="12"/>
      <c r="F14" s="12"/>
      <c r="G14" s="12"/>
      <c r="H14" s="13">
        <f t="shared" si="0"/>
        <v>0</v>
      </c>
    </row>
    <row r="15" spans="1:8">
      <c r="A15" s="7"/>
      <c r="B15" s="7"/>
      <c r="C15" s="4"/>
      <c r="D15" s="8"/>
      <c r="E15" s="12"/>
      <c r="F15" s="12"/>
      <c r="G15" s="12"/>
      <c r="H15" s="13">
        <f t="shared" si="0"/>
        <v>0</v>
      </c>
    </row>
    <row r="16" spans="1:8">
      <c r="A16" s="7"/>
      <c r="B16" s="7"/>
      <c r="C16" s="4"/>
      <c r="D16" s="8"/>
      <c r="E16" s="12"/>
      <c r="F16" s="12"/>
      <c r="G16" s="12"/>
      <c r="H16" s="13">
        <f t="shared" si="0"/>
        <v>0</v>
      </c>
    </row>
    <row r="17" spans="1:8">
      <c r="A17" s="7"/>
      <c r="B17" s="7"/>
      <c r="C17" s="4"/>
      <c r="D17" s="8"/>
      <c r="E17" s="12"/>
      <c r="F17" s="12"/>
      <c r="G17" s="12"/>
      <c r="H17" s="13">
        <f t="shared" si="0"/>
        <v>0</v>
      </c>
    </row>
    <row r="18" spans="1:8">
      <c r="A18" s="7"/>
      <c r="B18" s="7"/>
      <c r="C18" s="4"/>
      <c r="D18" s="8"/>
      <c r="E18" s="12"/>
      <c r="F18" s="12"/>
      <c r="G18" s="12"/>
      <c r="H18" s="13">
        <f t="shared" si="0"/>
        <v>0</v>
      </c>
    </row>
    <row r="19" spans="1:8">
      <c r="A19" s="7"/>
      <c r="B19" s="7"/>
      <c r="C19" s="4"/>
      <c r="D19" s="8"/>
      <c r="E19" s="12"/>
      <c r="F19" s="12"/>
      <c r="G19" s="12"/>
      <c r="H19" s="13">
        <f t="shared" si="0"/>
        <v>0</v>
      </c>
    </row>
    <row r="20" spans="1:8">
      <c r="A20" s="7"/>
      <c r="B20" s="7"/>
      <c r="C20" s="4"/>
      <c r="D20" s="8"/>
      <c r="E20" s="12"/>
      <c r="F20" s="12"/>
      <c r="G20" s="12"/>
      <c r="H20" s="13">
        <f t="shared" si="0"/>
        <v>0</v>
      </c>
    </row>
    <row r="21" spans="1:8">
      <c r="A21" s="7"/>
      <c r="B21" s="7"/>
      <c r="C21" s="4"/>
      <c r="D21" s="8"/>
      <c r="E21" s="12"/>
      <c r="F21" s="12"/>
      <c r="G21" s="12"/>
      <c r="H21" s="13">
        <f t="shared" si="0"/>
        <v>0</v>
      </c>
    </row>
    <row r="22" spans="1:8">
      <c r="A22" s="7"/>
      <c r="B22" s="7"/>
      <c r="C22" s="4"/>
      <c r="D22" s="8"/>
      <c r="E22" s="12"/>
      <c r="F22" s="12"/>
      <c r="G22" s="12"/>
      <c r="H22" s="13">
        <f t="shared" si="0"/>
        <v>0</v>
      </c>
    </row>
    <row r="23" spans="1:8">
      <c r="A23" s="7"/>
      <c r="B23" s="7"/>
      <c r="C23" s="4"/>
      <c r="D23" s="8"/>
      <c r="E23" s="12"/>
      <c r="F23" s="12"/>
      <c r="G23" s="12"/>
      <c r="H23" s="13">
        <f t="shared" si="0"/>
        <v>0</v>
      </c>
    </row>
    <row r="24" spans="1:8">
      <c r="A24" s="7"/>
      <c r="B24" s="7"/>
      <c r="C24" s="4"/>
      <c r="D24" s="8"/>
      <c r="E24" s="12"/>
      <c r="F24" s="12"/>
      <c r="G24" s="12"/>
      <c r="H24" s="13">
        <f t="shared" si="0"/>
        <v>0</v>
      </c>
    </row>
    <row r="25" spans="1:8">
      <c r="A25" s="7"/>
      <c r="B25" s="7"/>
      <c r="C25" s="4"/>
      <c r="D25" s="8"/>
      <c r="E25" s="12"/>
      <c r="F25" s="12"/>
      <c r="G25" s="12"/>
      <c r="H25" s="13">
        <f t="shared" si="0"/>
        <v>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كود غير صحيح" error="الكود غير موجود في شيت المخزن - أضفه هناك أولاً" xr:uid="{00000000-0002-0000-0600-000000000000}">
          <x14:formula1>
            <xm:f>المخزن!$A$3:$A$43</xm:f>
          </x14:formula1>
          <x14:formula2>
            <xm:f>0</xm:f>
          </x14:formula2>
          <xm:sqref>C3:C25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9"/>
  <sheetViews>
    <sheetView rightToLeft="1" zoomScaleNormal="100" workbookViewId="0">
      <pane ySplit="2" topLeftCell="A23" activePane="bottomLeft" state="frozen"/>
      <selection pane="bottomLeft" activeCell="B39" sqref="B39"/>
    </sheetView>
  </sheetViews>
  <sheetFormatPr defaultColWidth="8.6640625" defaultRowHeight="14.4"/>
  <cols>
    <col min="1" max="1" width="12" customWidth="1"/>
    <col min="2" max="2" width="30" customWidth="1"/>
    <col min="3" max="3" width="10" customWidth="1"/>
    <col min="4" max="4" width="8" customWidth="1"/>
    <col min="5" max="5" width="10" customWidth="1"/>
    <col min="6" max="8" width="12" customWidth="1"/>
  </cols>
  <sheetData>
    <row r="1" spans="1:8" ht="17.399999999999999" customHeight="1">
      <c r="A1" s="2" t="s">
        <v>215</v>
      </c>
      <c r="B1" s="2"/>
      <c r="C1" s="2"/>
      <c r="D1" s="2"/>
      <c r="E1" s="2"/>
      <c r="F1" s="2"/>
      <c r="G1" s="2"/>
      <c r="H1" s="2"/>
    </row>
    <row r="2" spans="1:8">
      <c r="A2" s="3" t="s">
        <v>125</v>
      </c>
      <c r="B2" s="3" t="s">
        <v>126</v>
      </c>
      <c r="C2" s="3" t="s">
        <v>1</v>
      </c>
      <c r="D2" s="3" t="s">
        <v>127</v>
      </c>
      <c r="E2" s="3" t="s">
        <v>128</v>
      </c>
      <c r="F2" s="3" t="s">
        <v>129</v>
      </c>
      <c r="G2" s="3" t="s">
        <v>130</v>
      </c>
      <c r="H2" s="3" t="s">
        <v>131</v>
      </c>
    </row>
    <row r="3" spans="1:8">
      <c r="A3" s="16" t="s">
        <v>216</v>
      </c>
      <c r="B3" s="7" t="s">
        <v>217</v>
      </c>
      <c r="C3" s="4" t="s">
        <v>45</v>
      </c>
      <c r="D3" s="8">
        <v>28</v>
      </c>
      <c r="E3" s="12">
        <v>150</v>
      </c>
      <c r="F3" s="12">
        <v>4200</v>
      </c>
      <c r="G3" s="12"/>
      <c r="H3" s="13">
        <f>IF(AND($B3="",$C3="",$F3="",$G3=""),0,0+IF($F3="",0,$F3)-IF($G3="",0,$G3))</f>
        <v>4200</v>
      </c>
    </row>
    <row r="4" spans="1:8">
      <c r="A4" s="16" t="s">
        <v>216</v>
      </c>
      <c r="B4" s="7" t="s">
        <v>162</v>
      </c>
      <c r="C4" s="4" t="s">
        <v>51</v>
      </c>
      <c r="D4" s="8">
        <v>48</v>
      </c>
      <c r="E4" s="12">
        <v>350</v>
      </c>
      <c r="F4" s="12">
        <v>16800</v>
      </c>
      <c r="G4" s="12"/>
      <c r="H4" s="13">
        <f t="shared" ref="H4:H49" si="0">IF(AND($B4="",$C4="",$F4="",$G4=""),$H3,$H3+IF($F4="",0,$F4)-IF($G4="",0,$G4))</f>
        <v>21000</v>
      </c>
    </row>
    <row r="5" spans="1:8">
      <c r="A5" s="16" t="s">
        <v>216</v>
      </c>
      <c r="B5" s="7" t="s">
        <v>185</v>
      </c>
      <c r="C5" s="4" t="s">
        <v>69</v>
      </c>
      <c r="D5" s="8">
        <v>44</v>
      </c>
      <c r="E5" s="12">
        <v>235</v>
      </c>
      <c r="F5" s="12">
        <v>10340</v>
      </c>
      <c r="G5" s="12"/>
      <c r="H5" s="13">
        <f t="shared" si="0"/>
        <v>31340</v>
      </c>
    </row>
    <row r="6" spans="1:8">
      <c r="A6" s="16" t="s">
        <v>192</v>
      </c>
      <c r="B6" s="7" t="s">
        <v>107</v>
      </c>
      <c r="C6" s="4" t="s">
        <v>106</v>
      </c>
      <c r="D6" s="8">
        <v>60</v>
      </c>
      <c r="E6" s="12">
        <v>250</v>
      </c>
      <c r="F6" s="12">
        <v>15000</v>
      </c>
      <c r="G6" s="12"/>
      <c r="H6" s="13">
        <f t="shared" si="0"/>
        <v>46340</v>
      </c>
    </row>
    <row r="7" spans="1:8">
      <c r="A7" s="16" t="s">
        <v>192</v>
      </c>
      <c r="B7" s="7" t="s">
        <v>218</v>
      </c>
      <c r="C7" s="4" t="s">
        <v>73</v>
      </c>
      <c r="D7" s="8">
        <v>44</v>
      </c>
      <c r="E7" s="12">
        <v>280</v>
      </c>
      <c r="F7" s="12">
        <v>12320</v>
      </c>
      <c r="G7" s="12"/>
      <c r="H7" s="13">
        <f t="shared" si="0"/>
        <v>58660</v>
      </c>
    </row>
    <row r="8" spans="1:8">
      <c r="A8" s="16" t="s">
        <v>219</v>
      </c>
      <c r="B8" s="7" t="s">
        <v>107</v>
      </c>
      <c r="C8" s="4" t="s">
        <v>106</v>
      </c>
      <c r="D8" s="8">
        <v>24</v>
      </c>
      <c r="E8" s="12">
        <v>250</v>
      </c>
      <c r="F8" s="12">
        <v>6000</v>
      </c>
      <c r="G8" s="12"/>
      <c r="H8" s="13">
        <f t="shared" si="0"/>
        <v>64660</v>
      </c>
    </row>
    <row r="9" spans="1:8">
      <c r="A9" s="16" t="s">
        <v>219</v>
      </c>
      <c r="B9" s="7"/>
      <c r="C9" s="4"/>
      <c r="D9" s="8"/>
      <c r="E9" s="12"/>
      <c r="F9" s="12"/>
      <c r="G9" s="12">
        <v>15000</v>
      </c>
      <c r="H9" s="13">
        <f t="shared" si="0"/>
        <v>49660</v>
      </c>
    </row>
    <row r="10" spans="1:8">
      <c r="A10" s="22">
        <v>46207</v>
      </c>
      <c r="B10" s="7"/>
      <c r="C10" s="4"/>
      <c r="D10" s="8"/>
      <c r="E10" s="12"/>
      <c r="F10" s="12"/>
      <c r="G10" s="12">
        <v>5000</v>
      </c>
      <c r="H10" s="13">
        <f t="shared" si="0"/>
        <v>44660</v>
      </c>
    </row>
    <row r="11" spans="1:8">
      <c r="A11" s="23"/>
      <c r="B11" s="7" t="s">
        <v>162</v>
      </c>
      <c r="C11" s="4" t="s">
        <v>51</v>
      </c>
      <c r="D11" s="8">
        <v>24</v>
      </c>
      <c r="E11" s="12">
        <v>350</v>
      </c>
      <c r="F11" s="12"/>
      <c r="G11" s="12">
        <v>8400</v>
      </c>
      <c r="H11" s="13">
        <f t="shared" si="0"/>
        <v>36260</v>
      </c>
    </row>
    <row r="12" spans="1:8">
      <c r="A12" s="23"/>
      <c r="B12" s="7" t="s">
        <v>220</v>
      </c>
      <c r="C12" s="4" t="s">
        <v>73</v>
      </c>
      <c r="D12" s="8">
        <v>4</v>
      </c>
      <c r="E12" s="12">
        <v>280</v>
      </c>
      <c r="F12" s="12"/>
      <c r="G12" s="12">
        <v>1120</v>
      </c>
      <c r="H12" s="13">
        <f t="shared" si="0"/>
        <v>35140</v>
      </c>
    </row>
    <row r="13" spans="1:8">
      <c r="A13" s="16" t="s">
        <v>161</v>
      </c>
      <c r="B13" s="7" t="s">
        <v>221</v>
      </c>
      <c r="C13" s="4" t="s">
        <v>75</v>
      </c>
      <c r="D13" s="8">
        <v>48</v>
      </c>
      <c r="E13" s="12">
        <v>310</v>
      </c>
      <c r="F13" s="12">
        <v>14880</v>
      </c>
      <c r="G13" s="12"/>
      <c r="H13" s="13">
        <f t="shared" si="0"/>
        <v>50020</v>
      </c>
    </row>
    <row r="14" spans="1:8">
      <c r="A14" s="16" t="s">
        <v>161</v>
      </c>
      <c r="B14" s="7" t="s">
        <v>222</v>
      </c>
      <c r="C14" s="4" t="s">
        <v>51</v>
      </c>
      <c r="D14" s="8">
        <v>24</v>
      </c>
      <c r="E14" s="12">
        <v>90</v>
      </c>
      <c r="F14" s="12"/>
      <c r="G14" s="12">
        <v>2160</v>
      </c>
      <c r="H14" s="13">
        <f t="shared" si="0"/>
        <v>47860</v>
      </c>
    </row>
    <row r="15" spans="1:8">
      <c r="A15" s="16" t="s">
        <v>161</v>
      </c>
      <c r="B15" s="7" t="s">
        <v>223</v>
      </c>
      <c r="C15" s="4" t="s">
        <v>69</v>
      </c>
      <c r="D15" s="8">
        <v>32</v>
      </c>
      <c r="E15" s="12">
        <v>35</v>
      </c>
      <c r="F15" s="12"/>
      <c r="G15" s="12">
        <v>1120</v>
      </c>
      <c r="H15" s="13">
        <f t="shared" si="0"/>
        <v>46740</v>
      </c>
    </row>
    <row r="16" spans="1:8">
      <c r="A16" s="16" t="s">
        <v>161</v>
      </c>
      <c r="B16" s="7" t="s">
        <v>224</v>
      </c>
      <c r="C16" s="4" t="s">
        <v>45</v>
      </c>
      <c r="D16" s="8">
        <v>28</v>
      </c>
      <c r="E16" s="12">
        <v>40</v>
      </c>
      <c r="F16" s="12"/>
      <c r="G16" s="12">
        <v>1120</v>
      </c>
      <c r="H16" s="13">
        <f t="shared" si="0"/>
        <v>45620</v>
      </c>
    </row>
    <row r="17" spans="1:8">
      <c r="A17" s="16" t="s">
        <v>225</v>
      </c>
      <c r="B17" s="7" t="s">
        <v>78</v>
      </c>
      <c r="C17" s="4" t="s">
        <v>77</v>
      </c>
      <c r="D17" s="8">
        <v>24</v>
      </c>
      <c r="E17" s="12">
        <v>355</v>
      </c>
      <c r="F17" s="12">
        <v>8520</v>
      </c>
      <c r="G17" s="12"/>
      <c r="H17" s="13">
        <f t="shared" si="0"/>
        <v>54140</v>
      </c>
    </row>
    <row r="18" spans="1:8">
      <c r="A18" s="16" t="s">
        <v>225</v>
      </c>
      <c r="B18" s="7" t="s">
        <v>226</v>
      </c>
      <c r="C18" s="4" t="s">
        <v>63</v>
      </c>
      <c r="D18" s="8">
        <v>24</v>
      </c>
      <c r="E18" s="12">
        <v>350</v>
      </c>
      <c r="F18" s="12">
        <v>8400</v>
      </c>
      <c r="G18" s="12"/>
      <c r="H18" s="13">
        <f t="shared" si="0"/>
        <v>62540</v>
      </c>
    </row>
    <row r="19" spans="1:8">
      <c r="A19" s="16" t="s">
        <v>225</v>
      </c>
      <c r="B19" s="7" t="s">
        <v>227</v>
      </c>
      <c r="C19" s="4" t="s">
        <v>85</v>
      </c>
      <c r="D19" s="8">
        <v>36</v>
      </c>
      <c r="E19" s="12">
        <v>385</v>
      </c>
      <c r="F19" s="12">
        <v>13860</v>
      </c>
      <c r="G19" s="12"/>
      <c r="H19" s="13">
        <f t="shared" si="0"/>
        <v>76400</v>
      </c>
    </row>
    <row r="20" spans="1:8">
      <c r="A20" s="16" t="s">
        <v>225</v>
      </c>
      <c r="B20" s="7" t="s">
        <v>228</v>
      </c>
      <c r="C20" s="4" t="s">
        <v>75</v>
      </c>
      <c r="D20" s="8">
        <v>36</v>
      </c>
      <c r="E20" s="12">
        <v>100</v>
      </c>
      <c r="F20" s="12"/>
      <c r="G20" s="12">
        <v>3600</v>
      </c>
      <c r="H20" s="13">
        <f t="shared" si="0"/>
        <v>72800</v>
      </c>
    </row>
    <row r="21" spans="1:8">
      <c r="A21" s="16" t="s">
        <v>229</v>
      </c>
      <c r="B21" s="7" t="s">
        <v>136</v>
      </c>
      <c r="C21" s="4"/>
      <c r="D21" s="8"/>
      <c r="E21" s="12"/>
      <c r="F21" s="12"/>
      <c r="G21" s="12">
        <v>10000</v>
      </c>
      <c r="H21" s="13">
        <f t="shared" si="0"/>
        <v>62800</v>
      </c>
    </row>
    <row r="22" spans="1:8">
      <c r="A22" s="24">
        <v>46030</v>
      </c>
      <c r="B22" s="7" t="s">
        <v>230</v>
      </c>
      <c r="C22" s="4"/>
      <c r="D22" s="8"/>
      <c r="E22" s="12"/>
      <c r="F22" s="12"/>
      <c r="G22" s="12">
        <v>6200</v>
      </c>
      <c r="H22" s="13">
        <f t="shared" si="0"/>
        <v>56600</v>
      </c>
    </row>
    <row r="23" spans="1:8">
      <c r="A23" s="24">
        <v>46030</v>
      </c>
      <c r="B23" s="7" t="s">
        <v>136</v>
      </c>
      <c r="C23" s="4"/>
      <c r="D23" s="8"/>
      <c r="E23" s="12"/>
      <c r="F23" s="12"/>
      <c r="G23" s="12">
        <v>10000</v>
      </c>
      <c r="H23" s="13">
        <f t="shared" si="0"/>
        <v>46600</v>
      </c>
    </row>
    <row r="24" spans="1:8">
      <c r="A24" s="24">
        <v>46150</v>
      </c>
      <c r="B24" s="7" t="s">
        <v>231</v>
      </c>
      <c r="C24" s="4" t="s">
        <v>61</v>
      </c>
      <c r="D24" s="8">
        <v>48</v>
      </c>
      <c r="E24" s="12">
        <v>325</v>
      </c>
      <c r="F24" s="12">
        <v>15600</v>
      </c>
      <c r="G24" s="12"/>
      <c r="H24" s="13">
        <f t="shared" si="0"/>
        <v>62200</v>
      </c>
    </row>
    <row r="25" spans="1:8">
      <c r="A25" s="24">
        <v>46150</v>
      </c>
      <c r="B25" s="7" t="s">
        <v>232</v>
      </c>
      <c r="C25" s="4" t="s">
        <v>63</v>
      </c>
      <c r="D25" s="8">
        <v>24</v>
      </c>
      <c r="E25" s="12">
        <v>350</v>
      </c>
      <c r="F25" s="12"/>
      <c r="G25" s="12">
        <v>8400</v>
      </c>
      <c r="H25" s="13">
        <f t="shared" si="0"/>
        <v>53800</v>
      </c>
    </row>
    <row r="26" spans="1:8">
      <c r="A26" s="24">
        <v>46242</v>
      </c>
      <c r="B26" s="7" t="s">
        <v>136</v>
      </c>
      <c r="C26" s="4"/>
      <c r="D26" s="8"/>
      <c r="E26" s="12"/>
      <c r="F26" s="12"/>
      <c r="G26" s="12">
        <v>10000</v>
      </c>
      <c r="H26" s="13">
        <f t="shared" si="0"/>
        <v>43800</v>
      </c>
    </row>
    <row r="27" spans="1:8">
      <c r="A27" s="23"/>
      <c r="B27" s="7" t="s">
        <v>230</v>
      </c>
      <c r="C27" s="4"/>
      <c r="D27" s="8"/>
      <c r="E27" s="12"/>
      <c r="F27" s="12"/>
      <c r="G27" s="12">
        <v>8475</v>
      </c>
      <c r="H27" s="13">
        <f t="shared" si="0"/>
        <v>35325</v>
      </c>
    </row>
    <row r="28" spans="1:8">
      <c r="A28" s="25" t="s">
        <v>207</v>
      </c>
      <c r="B28" s="7" t="s">
        <v>233</v>
      </c>
      <c r="C28" s="4" t="s">
        <v>100</v>
      </c>
      <c r="D28" s="8">
        <v>24</v>
      </c>
      <c r="E28" s="12">
        <v>320</v>
      </c>
      <c r="F28" s="12">
        <v>7680</v>
      </c>
      <c r="G28" s="12"/>
      <c r="H28" s="13">
        <f t="shared" si="0"/>
        <v>43005</v>
      </c>
    </row>
    <row r="29" spans="1:8">
      <c r="A29" s="25" t="s">
        <v>207</v>
      </c>
      <c r="B29" s="7" t="s">
        <v>234</v>
      </c>
      <c r="C29" s="19" t="s">
        <v>348</v>
      </c>
      <c r="D29" s="8">
        <v>32</v>
      </c>
      <c r="E29" s="12">
        <v>330</v>
      </c>
      <c r="F29" s="12">
        <v>10560</v>
      </c>
      <c r="G29" s="12"/>
      <c r="H29" s="13">
        <f t="shared" si="0"/>
        <v>53565</v>
      </c>
    </row>
    <row r="30" spans="1:8">
      <c r="A30" s="25" t="s">
        <v>207</v>
      </c>
      <c r="B30" s="18" t="s">
        <v>353</v>
      </c>
      <c r="C30" s="4" t="s">
        <v>61</v>
      </c>
      <c r="D30" s="8">
        <v>12</v>
      </c>
      <c r="E30" s="12">
        <v>325</v>
      </c>
      <c r="F30" s="12"/>
      <c r="G30" s="12">
        <f>E30*D30</f>
        <v>3900</v>
      </c>
      <c r="H30" s="13">
        <f t="shared" si="0"/>
        <v>49665</v>
      </c>
    </row>
    <row r="31" spans="1:8">
      <c r="A31" s="25" t="s">
        <v>207</v>
      </c>
      <c r="B31" s="18" t="s">
        <v>354</v>
      </c>
      <c r="C31" s="4"/>
      <c r="D31" s="8">
        <v>12</v>
      </c>
      <c r="E31" s="12">
        <v>260</v>
      </c>
      <c r="F31" s="12"/>
      <c r="G31" s="12">
        <f>E31*D31</f>
        <v>3120</v>
      </c>
      <c r="H31" s="13">
        <f t="shared" si="0"/>
        <v>46545</v>
      </c>
    </row>
    <row r="32" spans="1:8">
      <c r="A32" s="25" t="s">
        <v>207</v>
      </c>
      <c r="B32" s="18" t="s">
        <v>355</v>
      </c>
      <c r="C32" s="4"/>
      <c r="D32" s="8">
        <v>8</v>
      </c>
      <c r="E32" s="12">
        <v>355</v>
      </c>
      <c r="F32" s="12"/>
      <c r="G32" s="12">
        <f>E32*D32</f>
        <v>2840</v>
      </c>
      <c r="H32" s="13">
        <f t="shared" si="0"/>
        <v>43705</v>
      </c>
    </row>
    <row r="33" spans="1:8">
      <c r="A33" s="7"/>
      <c r="B33" s="7"/>
      <c r="C33" s="4"/>
      <c r="D33" s="8"/>
      <c r="E33" s="12"/>
      <c r="F33" s="12"/>
      <c r="G33" s="12"/>
      <c r="H33" s="13">
        <f t="shared" si="0"/>
        <v>43705</v>
      </c>
    </row>
    <row r="34" spans="1:8">
      <c r="A34" s="7"/>
      <c r="B34" s="7"/>
      <c r="C34" s="4"/>
      <c r="D34" s="8"/>
      <c r="E34" s="12"/>
      <c r="F34" s="12"/>
      <c r="G34" s="12"/>
      <c r="H34" s="13">
        <f t="shared" si="0"/>
        <v>43705</v>
      </c>
    </row>
    <row r="35" spans="1:8">
      <c r="A35" s="7"/>
      <c r="B35" s="7"/>
      <c r="C35" s="4"/>
      <c r="D35" s="8"/>
      <c r="E35" s="12"/>
      <c r="F35" s="12"/>
      <c r="G35" s="12"/>
      <c r="H35" s="13">
        <f t="shared" si="0"/>
        <v>43705</v>
      </c>
    </row>
    <row r="36" spans="1:8">
      <c r="A36" s="7"/>
      <c r="B36" s="7"/>
      <c r="C36" s="4"/>
      <c r="D36" s="8"/>
      <c r="E36" s="12"/>
      <c r="F36" s="12"/>
      <c r="G36" s="12"/>
      <c r="H36" s="13">
        <f t="shared" si="0"/>
        <v>43705</v>
      </c>
    </row>
    <row r="37" spans="1:8">
      <c r="A37" s="7"/>
      <c r="B37" s="7"/>
      <c r="C37" s="4"/>
      <c r="D37" s="8"/>
      <c r="E37" s="12"/>
      <c r="F37" s="12"/>
      <c r="G37" s="12"/>
      <c r="H37" s="13">
        <f t="shared" si="0"/>
        <v>43705</v>
      </c>
    </row>
    <row r="38" spans="1:8">
      <c r="A38" s="7"/>
      <c r="B38" s="7"/>
      <c r="C38" s="4"/>
      <c r="D38" s="8"/>
      <c r="E38" s="12"/>
      <c r="F38" s="12"/>
      <c r="G38" s="12"/>
      <c r="H38" s="13">
        <f t="shared" si="0"/>
        <v>43705</v>
      </c>
    </row>
    <row r="39" spans="1:8">
      <c r="A39" s="7"/>
      <c r="B39" s="7"/>
      <c r="C39" s="4"/>
      <c r="D39" s="8"/>
      <c r="E39" s="12"/>
      <c r="F39" s="12"/>
      <c r="G39" s="12"/>
      <c r="H39" s="13">
        <f t="shared" si="0"/>
        <v>43705</v>
      </c>
    </row>
    <row r="40" spans="1:8">
      <c r="A40" s="7"/>
      <c r="B40" s="7"/>
      <c r="C40" s="4"/>
      <c r="D40" s="8"/>
      <c r="E40" s="12"/>
      <c r="F40" s="12"/>
      <c r="G40" s="12"/>
      <c r="H40" s="13">
        <f t="shared" si="0"/>
        <v>43705</v>
      </c>
    </row>
    <row r="41" spans="1:8">
      <c r="A41" s="7"/>
      <c r="B41" s="7"/>
      <c r="C41" s="4"/>
      <c r="D41" s="8"/>
      <c r="E41" s="12"/>
      <c r="F41" s="12"/>
      <c r="G41" s="12"/>
      <c r="H41" s="13">
        <f t="shared" si="0"/>
        <v>43705</v>
      </c>
    </row>
    <row r="42" spans="1:8">
      <c r="A42" s="7"/>
      <c r="B42" s="7"/>
      <c r="C42" s="4"/>
      <c r="D42" s="8"/>
      <c r="E42" s="12"/>
      <c r="F42" s="12"/>
      <c r="G42" s="12"/>
      <c r="H42" s="13">
        <f t="shared" si="0"/>
        <v>43705</v>
      </c>
    </row>
    <row r="43" spans="1:8">
      <c r="A43" s="7"/>
      <c r="B43" s="7"/>
      <c r="C43" s="4"/>
      <c r="D43" s="8"/>
      <c r="E43" s="12"/>
      <c r="F43" s="12"/>
      <c r="G43" s="12"/>
      <c r="H43" s="13">
        <f t="shared" si="0"/>
        <v>43705</v>
      </c>
    </row>
    <row r="44" spans="1:8">
      <c r="A44" s="7"/>
      <c r="B44" s="7"/>
      <c r="C44" s="4"/>
      <c r="D44" s="8"/>
      <c r="E44" s="12"/>
      <c r="F44" s="12"/>
      <c r="G44" s="12"/>
      <c r="H44" s="13">
        <f t="shared" si="0"/>
        <v>43705</v>
      </c>
    </row>
    <row r="45" spans="1:8">
      <c r="A45" s="7"/>
      <c r="B45" s="7"/>
      <c r="C45" s="4"/>
      <c r="D45" s="8"/>
      <c r="E45" s="12"/>
      <c r="F45" s="12"/>
      <c r="G45" s="12"/>
      <c r="H45" s="13">
        <f t="shared" si="0"/>
        <v>43705</v>
      </c>
    </row>
    <row r="46" spans="1:8">
      <c r="A46" s="7"/>
      <c r="B46" s="7"/>
      <c r="C46" s="4"/>
      <c r="D46" s="8"/>
      <c r="E46" s="12"/>
      <c r="F46" s="12"/>
      <c r="G46" s="12"/>
      <c r="H46" s="13">
        <f t="shared" si="0"/>
        <v>43705</v>
      </c>
    </row>
    <row r="47" spans="1:8">
      <c r="A47" s="7"/>
      <c r="B47" s="7"/>
      <c r="C47" s="4"/>
      <c r="D47" s="8"/>
      <c r="E47" s="12"/>
      <c r="F47" s="12"/>
      <c r="G47" s="12"/>
      <c r="H47" s="13">
        <f t="shared" si="0"/>
        <v>43705</v>
      </c>
    </row>
    <row r="48" spans="1:8">
      <c r="A48" s="7"/>
      <c r="B48" s="7"/>
      <c r="C48" s="4"/>
      <c r="D48" s="8"/>
      <c r="E48" s="12"/>
      <c r="F48" s="12"/>
      <c r="G48" s="12"/>
      <c r="H48" s="13">
        <f t="shared" si="0"/>
        <v>43705</v>
      </c>
    </row>
    <row r="49" spans="1:8">
      <c r="A49" s="7"/>
      <c r="B49" s="7"/>
      <c r="C49" s="4"/>
      <c r="D49" s="8"/>
      <c r="E49" s="12"/>
      <c r="F49" s="12"/>
      <c r="G49" s="12"/>
      <c r="H49" s="13">
        <f t="shared" si="0"/>
        <v>43705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كود غير صحيح" error="الكود غير موجود في شيت المخزن - أضفه هناك أولاً" xr:uid="{00000000-0002-0000-0700-000000000000}">
          <x14:formula1>
            <xm:f>المخزن!$A$3:$A$43</xm:f>
          </x14:formula1>
          <x14:formula2>
            <xm:f>0</xm:f>
          </x14:formula2>
          <xm:sqref>C3:C49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2"/>
  <sheetViews>
    <sheetView rightToLeft="1" zoomScaleNormal="100" workbookViewId="0">
      <pane ySplit="2" topLeftCell="A23" activePane="bottomLeft" state="frozen"/>
      <selection pane="bottomLeft" activeCell="I27" sqref="I27"/>
    </sheetView>
  </sheetViews>
  <sheetFormatPr defaultColWidth="8.6640625" defaultRowHeight="14.4"/>
  <cols>
    <col min="1" max="1" width="12" customWidth="1"/>
    <col min="2" max="2" width="30" customWidth="1"/>
    <col min="3" max="3" width="10" customWidth="1"/>
    <col min="4" max="4" width="8" customWidth="1"/>
    <col min="5" max="5" width="10" customWidth="1"/>
    <col min="6" max="8" width="12" customWidth="1"/>
  </cols>
  <sheetData>
    <row r="1" spans="1:8" ht="17.399999999999999" customHeight="1">
      <c r="A1" s="2" t="s">
        <v>235</v>
      </c>
      <c r="B1" s="2"/>
      <c r="C1" s="2"/>
      <c r="D1" s="2"/>
      <c r="E1" s="2"/>
      <c r="F1" s="2"/>
      <c r="G1" s="2"/>
      <c r="H1" s="2"/>
    </row>
    <row r="2" spans="1:8">
      <c r="A2" s="3" t="s">
        <v>125</v>
      </c>
      <c r="B2" s="3" t="s">
        <v>126</v>
      </c>
      <c r="C2" s="3" t="s">
        <v>1</v>
      </c>
      <c r="D2" s="3" t="s">
        <v>127</v>
      </c>
      <c r="E2" s="3" t="s">
        <v>128</v>
      </c>
      <c r="F2" s="3" t="s">
        <v>129</v>
      </c>
      <c r="G2" s="3" t="s">
        <v>130</v>
      </c>
      <c r="H2" s="3" t="s">
        <v>131</v>
      </c>
    </row>
    <row r="3" spans="1:8">
      <c r="A3" s="7" t="s">
        <v>149</v>
      </c>
      <c r="B3" s="7" t="s">
        <v>141</v>
      </c>
      <c r="C3" s="4" t="s">
        <v>39</v>
      </c>
      <c r="D3" s="8">
        <v>8</v>
      </c>
      <c r="E3" s="12">
        <v>380</v>
      </c>
      <c r="F3" s="12">
        <v>3040</v>
      </c>
      <c r="G3" s="12"/>
      <c r="H3" s="13">
        <f>IF(AND($B3="",$C3="",$F3="",$G3=""),0,0+IF($F3="",0,$F3)-IF($G3="",0,$G3))</f>
        <v>3040</v>
      </c>
    </row>
    <row r="4" spans="1:8">
      <c r="A4" s="7" t="s">
        <v>236</v>
      </c>
      <c r="B4" s="7" t="s">
        <v>237</v>
      </c>
      <c r="C4" s="4"/>
      <c r="D4" s="8">
        <v>4</v>
      </c>
      <c r="E4" s="12">
        <v>240</v>
      </c>
      <c r="F4" s="12">
        <v>960</v>
      </c>
      <c r="G4" s="12"/>
      <c r="H4" s="13">
        <f t="shared" ref="H4:H35" si="0">IF(AND($B4="",$C4="",$F4="",$G4=""),$H3,$H3+IF($F4="",0,$F4)-IF($G4="",0,$G4))</f>
        <v>4000</v>
      </c>
    </row>
    <row r="5" spans="1:8">
      <c r="A5" s="7" t="s">
        <v>236</v>
      </c>
      <c r="B5" s="7" t="s">
        <v>238</v>
      </c>
      <c r="C5" s="4" t="s">
        <v>39</v>
      </c>
      <c r="D5" s="8">
        <v>3</v>
      </c>
      <c r="E5" s="12">
        <v>380</v>
      </c>
      <c r="F5" s="12">
        <v>1140</v>
      </c>
      <c r="G5" s="12"/>
      <c r="H5" s="13">
        <f t="shared" si="0"/>
        <v>5140</v>
      </c>
    </row>
    <row r="6" spans="1:8">
      <c r="A6" s="7" t="s">
        <v>236</v>
      </c>
      <c r="B6" s="7" t="s">
        <v>136</v>
      </c>
      <c r="C6" s="4"/>
      <c r="D6" s="8"/>
      <c r="E6" s="12"/>
      <c r="F6" s="12"/>
      <c r="G6" s="12">
        <v>2500</v>
      </c>
      <c r="H6" s="13">
        <f t="shared" si="0"/>
        <v>2640</v>
      </c>
    </row>
    <row r="7" spans="1:8">
      <c r="A7" s="7" t="s">
        <v>239</v>
      </c>
      <c r="B7" s="7" t="s">
        <v>136</v>
      </c>
      <c r="C7" s="4"/>
      <c r="D7" s="8"/>
      <c r="E7" s="12"/>
      <c r="F7" s="12"/>
      <c r="G7" s="12">
        <v>2100</v>
      </c>
      <c r="H7" s="13">
        <f t="shared" si="0"/>
        <v>540</v>
      </c>
    </row>
    <row r="8" spans="1:8">
      <c r="A8" s="7" t="s">
        <v>239</v>
      </c>
      <c r="B8" s="7" t="s">
        <v>240</v>
      </c>
      <c r="C8" s="4"/>
      <c r="D8" s="8"/>
      <c r="E8" s="12"/>
      <c r="F8" s="12"/>
      <c r="G8" s="12">
        <v>500</v>
      </c>
      <c r="H8" s="13">
        <f t="shared" si="0"/>
        <v>40</v>
      </c>
    </row>
    <row r="9" spans="1:8">
      <c r="A9" s="7" t="s">
        <v>159</v>
      </c>
      <c r="B9" s="7" t="s">
        <v>186</v>
      </c>
      <c r="C9" s="4" t="s">
        <v>67</v>
      </c>
      <c r="D9" s="8">
        <v>8</v>
      </c>
      <c r="E9" s="12">
        <v>800</v>
      </c>
      <c r="F9" s="12">
        <v>6400</v>
      </c>
      <c r="G9" s="12"/>
      <c r="H9" s="13">
        <f t="shared" si="0"/>
        <v>6440</v>
      </c>
    </row>
    <row r="10" spans="1:8">
      <c r="A10" s="7" t="s">
        <v>159</v>
      </c>
      <c r="B10" s="7" t="s">
        <v>148</v>
      </c>
      <c r="C10" s="4" t="s">
        <v>65</v>
      </c>
      <c r="D10" s="8">
        <v>8</v>
      </c>
      <c r="E10" s="12">
        <v>350</v>
      </c>
      <c r="F10" s="12">
        <v>2800</v>
      </c>
      <c r="G10" s="12"/>
      <c r="H10" s="13">
        <f t="shared" si="0"/>
        <v>9240</v>
      </c>
    </row>
    <row r="11" spans="1:8">
      <c r="A11" s="7" t="s">
        <v>159</v>
      </c>
      <c r="B11" s="7" t="s">
        <v>171</v>
      </c>
      <c r="C11" s="4" t="s">
        <v>43</v>
      </c>
      <c r="D11" s="8">
        <v>12</v>
      </c>
      <c r="E11" s="12">
        <v>420</v>
      </c>
      <c r="F11" s="12">
        <v>5040</v>
      </c>
      <c r="G11" s="12"/>
      <c r="H11" s="13">
        <f t="shared" si="0"/>
        <v>14280</v>
      </c>
    </row>
    <row r="12" spans="1:8">
      <c r="A12" s="7" t="s">
        <v>187</v>
      </c>
      <c r="B12" s="7" t="s">
        <v>189</v>
      </c>
      <c r="C12" s="4"/>
      <c r="D12" s="8"/>
      <c r="E12" s="12"/>
      <c r="F12" s="12"/>
      <c r="G12" s="12">
        <v>4200</v>
      </c>
      <c r="H12" s="13">
        <f t="shared" si="0"/>
        <v>10080</v>
      </c>
    </row>
    <row r="13" spans="1:8">
      <c r="A13" s="7" t="s">
        <v>193</v>
      </c>
      <c r="B13" s="7" t="s">
        <v>141</v>
      </c>
      <c r="C13" s="4" t="s">
        <v>39</v>
      </c>
      <c r="D13" s="8">
        <v>7</v>
      </c>
      <c r="E13" s="12">
        <v>380</v>
      </c>
      <c r="F13" s="12">
        <v>2660</v>
      </c>
      <c r="G13" s="12"/>
      <c r="H13" s="13">
        <f t="shared" si="0"/>
        <v>12740</v>
      </c>
    </row>
    <row r="14" spans="1:8">
      <c r="A14" s="7" t="s">
        <v>193</v>
      </c>
      <c r="B14" s="7" t="s">
        <v>218</v>
      </c>
      <c r="C14" s="4" t="s">
        <v>73</v>
      </c>
      <c r="D14" s="8">
        <v>4</v>
      </c>
      <c r="E14" s="12">
        <v>300</v>
      </c>
      <c r="F14" s="12">
        <v>1200</v>
      </c>
      <c r="G14" s="12"/>
      <c r="H14" s="13">
        <f t="shared" si="0"/>
        <v>13940</v>
      </c>
    </row>
    <row r="15" spans="1:8">
      <c r="A15" s="7" t="s">
        <v>193</v>
      </c>
      <c r="B15" s="7" t="s">
        <v>186</v>
      </c>
      <c r="C15" s="4" t="s">
        <v>67</v>
      </c>
      <c r="D15" s="8">
        <v>8</v>
      </c>
      <c r="E15" s="12">
        <v>800</v>
      </c>
      <c r="F15" s="12"/>
      <c r="G15" s="12">
        <v>6400</v>
      </c>
      <c r="H15" s="13">
        <f t="shared" si="0"/>
        <v>7540</v>
      </c>
    </row>
    <row r="16" spans="1:8">
      <c r="A16" s="7" t="s">
        <v>193</v>
      </c>
      <c r="B16" s="7" t="s">
        <v>148</v>
      </c>
      <c r="C16" s="4" t="s">
        <v>65</v>
      </c>
      <c r="D16" s="8">
        <v>4</v>
      </c>
      <c r="E16" s="12">
        <v>350</v>
      </c>
      <c r="F16" s="12"/>
      <c r="G16" s="12">
        <v>1400</v>
      </c>
      <c r="H16" s="13">
        <f t="shared" si="0"/>
        <v>6140</v>
      </c>
    </row>
    <row r="17" spans="1:8">
      <c r="A17" s="7" t="s">
        <v>193</v>
      </c>
      <c r="B17" s="7"/>
      <c r="C17" s="4"/>
      <c r="D17" s="8"/>
      <c r="E17" s="12"/>
      <c r="F17" s="12"/>
      <c r="G17" s="12">
        <v>2000</v>
      </c>
      <c r="H17" s="13">
        <f t="shared" si="0"/>
        <v>4140</v>
      </c>
    </row>
    <row r="18" spans="1:8">
      <c r="A18" s="11">
        <v>46088</v>
      </c>
      <c r="B18" s="7"/>
      <c r="C18" s="4"/>
      <c r="D18" s="8"/>
      <c r="E18" s="12"/>
      <c r="F18" s="12"/>
      <c r="G18" s="12">
        <v>2000</v>
      </c>
      <c r="H18" s="13">
        <f t="shared" si="0"/>
        <v>2140</v>
      </c>
    </row>
    <row r="19" spans="1:8">
      <c r="A19" s="11">
        <v>46272</v>
      </c>
      <c r="B19" s="7" t="s">
        <v>74</v>
      </c>
      <c r="C19" s="4" t="s">
        <v>73</v>
      </c>
      <c r="D19" s="8">
        <v>3</v>
      </c>
      <c r="E19" s="12">
        <v>300</v>
      </c>
      <c r="F19" s="12">
        <v>900</v>
      </c>
      <c r="G19" s="12"/>
      <c r="H19" s="13">
        <f t="shared" si="0"/>
        <v>3040</v>
      </c>
    </row>
    <row r="20" spans="1:8">
      <c r="A20" s="11">
        <v>46272</v>
      </c>
      <c r="B20" s="7" t="s">
        <v>136</v>
      </c>
      <c r="C20" s="4"/>
      <c r="D20" s="8"/>
      <c r="E20" s="12"/>
      <c r="F20" s="12"/>
      <c r="G20" s="12">
        <v>2000</v>
      </c>
      <c r="H20" s="13">
        <f t="shared" si="0"/>
        <v>1040</v>
      </c>
    </row>
    <row r="21" spans="1:8">
      <c r="A21" s="7" t="s">
        <v>199</v>
      </c>
      <c r="B21" s="7" t="s">
        <v>136</v>
      </c>
      <c r="C21" s="4"/>
      <c r="D21" s="8"/>
      <c r="E21" s="12"/>
      <c r="F21" s="12"/>
      <c r="G21" s="12">
        <v>1000</v>
      </c>
      <c r="H21" s="13">
        <f t="shared" si="0"/>
        <v>40</v>
      </c>
    </row>
    <row r="22" spans="1:8">
      <c r="A22" s="7" t="s">
        <v>241</v>
      </c>
      <c r="B22" s="7" t="s">
        <v>109</v>
      </c>
      <c r="C22" s="4" t="s">
        <v>108</v>
      </c>
      <c r="D22" s="8">
        <v>4</v>
      </c>
      <c r="E22" s="12">
        <v>350</v>
      </c>
      <c r="F22" s="12">
        <v>1400</v>
      </c>
      <c r="G22" s="12"/>
      <c r="H22" s="13">
        <f t="shared" si="0"/>
        <v>1440</v>
      </c>
    </row>
    <row r="23" spans="1:8">
      <c r="A23" s="11">
        <v>46120</v>
      </c>
      <c r="B23" s="7" t="s">
        <v>242</v>
      </c>
      <c r="C23" s="4" t="s">
        <v>61</v>
      </c>
      <c r="D23" s="8">
        <v>12</v>
      </c>
      <c r="E23" s="12">
        <v>340</v>
      </c>
      <c r="F23" s="12">
        <v>4080</v>
      </c>
      <c r="G23" s="12"/>
      <c r="H23" s="13">
        <f t="shared" si="0"/>
        <v>5520</v>
      </c>
    </row>
    <row r="24" spans="1:8">
      <c r="A24" s="11">
        <v>46120</v>
      </c>
      <c r="B24" s="7" t="s">
        <v>243</v>
      </c>
      <c r="C24" s="4" t="s">
        <v>37</v>
      </c>
      <c r="D24" s="8">
        <v>6</v>
      </c>
      <c r="E24" s="12">
        <v>320</v>
      </c>
      <c r="F24" s="12">
        <v>1920</v>
      </c>
      <c r="G24" s="12"/>
      <c r="H24" s="13">
        <f t="shared" si="0"/>
        <v>7440</v>
      </c>
    </row>
    <row r="25" spans="1:8">
      <c r="A25" s="11">
        <v>46150</v>
      </c>
      <c r="B25" s="7"/>
      <c r="C25" s="4"/>
      <c r="D25" s="8"/>
      <c r="E25" s="12"/>
      <c r="F25" s="12"/>
      <c r="G25" s="12">
        <v>1000</v>
      </c>
      <c r="H25" s="13">
        <f t="shared" si="0"/>
        <v>6440</v>
      </c>
    </row>
    <row r="26" spans="1:8">
      <c r="A26" s="11">
        <v>46181</v>
      </c>
      <c r="B26" s="7"/>
      <c r="C26" s="4"/>
      <c r="D26" s="8"/>
      <c r="E26" s="12"/>
      <c r="F26" s="12"/>
      <c r="G26" s="12">
        <v>1000</v>
      </c>
      <c r="H26" s="13">
        <f t="shared" si="0"/>
        <v>5440</v>
      </c>
    </row>
    <row r="27" spans="1:8">
      <c r="A27" s="11">
        <v>46242</v>
      </c>
      <c r="B27" s="7"/>
      <c r="C27" s="4"/>
      <c r="D27" s="8"/>
      <c r="E27" s="12"/>
      <c r="F27" s="12"/>
      <c r="G27" s="12">
        <v>2000</v>
      </c>
      <c r="H27" s="13">
        <f t="shared" si="0"/>
        <v>3440</v>
      </c>
    </row>
    <row r="28" spans="1:8">
      <c r="A28" s="7" t="s">
        <v>135</v>
      </c>
      <c r="B28" s="7"/>
      <c r="C28" s="4"/>
      <c r="D28" s="8"/>
      <c r="E28" s="12"/>
      <c r="F28" s="12"/>
      <c r="G28" s="12">
        <v>2000</v>
      </c>
      <c r="H28" s="13">
        <f t="shared" si="0"/>
        <v>1440</v>
      </c>
    </row>
    <row r="29" spans="1:8">
      <c r="A29" s="7" t="s">
        <v>207</v>
      </c>
      <c r="B29" s="7" t="s">
        <v>244</v>
      </c>
      <c r="C29" s="4" t="s">
        <v>93</v>
      </c>
      <c r="D29" s="8">
        <v>3</v>
      </c>
      <c r="E29" s="12">
        <v>360</v>
      </c>
      <c r="F29" s="12">
        <v>1080</v>
      </c>
      <c r="G29" s="12"/>
      <c r="H29" s="13">
        <f t="shared" si="0"/>
        <v>2520</v>
      </c>
    </row>
    <row r="30" spans="1:8">
      <c r="A30" s="7" t="s">
        <v>207</v>
      </c>
      <c r="B30" s="7" t="s">
        <v>245</v>
      </c>
      <c r="C30" s="4" t="s">
        <v>100</v>
      </c>
      <c r="D30" s="8">
        <v>8</v>
      </c>
      <c r="E30" s="12">
        <v>360</v>
      </c>
      <c r="F30" s="12">
        <v>2880</v>
      </c>
      <c r="G30" s="12"/>
      <c r="H30" s="13">
        <f t="shared" si="0"/>
        <v>5400</v>
      </c>
    </row>
    <row r="31" spans="1:8">
      <c r="A31" s="7" t="s">
        <v>207</v>
      </c>
      <c r="B31" s="7"/>
      <c r="C31" s="4" t="s">
        <v>108</v>
      </c>
      <c r="D31" s="8">
        <v>4</v>
      </c>
      <c r="E31" s="12">
        <v>350</v>
      </c>
      <c r="F31" s="12"/>
      <c r="G31" s="12">
        <v>1400</v>
      </c>
      <c r="H31" s="13">
        <f t="shared" si="0"/>
        <v>4000</v>
      </c>
    </row>
    <row r="32" spans="1:8">
      <c r="A32" s="7" t="s">
        <v>246</v>
      </c>
      <c r="B32" s="7"/>
      <c r="C32" s="4"/>
      <c r="D32" s="8"/>
      <c r="E32" s="12"/>
      <c r="F32" s="12"/>
      <c r="G32" s="12">
        <v>2000</v>
      </c>
      <c r="H32" s="13">
        <f t="shared" si="0"/>
        <v>2000</v>
      </c>
    </row>
    <row r="33" spans="1:8">
      <c r="A33" s="7"/>
      <c r="B33" s="7"/>
      <c r="C33" s="4"/>
      <c r="D33" s="8"/>
      <c r="E33" s="12"/>
      <c r="F33" s="12"/>
      <c r="G33" s="12"/>
      <c r="H33" s="13">
        <f t="shared" si="0"/>
        <v>2000</v>
      </c>
    </row>
    <row r="34" spans="1:8">
      <c r="A34" s="7"/>
      <c r="B34" s="7"/>
      <c r="C34" s="4"/>
      <c r="D34" s="8"/>
      <c r="E34" s="12"/>
      <c r="F34" s="12"/>
      <c r="G34" s="12"/>
      <c r="H34" s="13">
        <f t="shared" si="0"/>
        <v>2000</v>
      </c>
    </row>
    <row r="35" spans="1:8">
      <c r="A35" s="7"/>
      <c r="B35" s="7"/>
      <c r="C35" s="4"/>
      <c r="D35" s="8"/>
      <c r="E35" s="12"/>
      <c r="F35" s="12"/>
      <c r="G35" s="12"/>
      <c r="H35" s="13">
        <f t="shared" si="0"/>
        <v>2000</v>
      </c>
    </row>
    <row r="36" spans="1:8">
      <c r="A36" s="7"/>
      <c r="B36" s="7"/>
      <c r="C36" s="4"/>
      <c r="D36" s="8"/>
      <c r="E36" s="12"/>
      <c r="F36" s="12"/>
      <c r="G36" s="12"/>
      <c r="H36" s="13">
        <f t="shared" ref="H36:H52" si="1">IF(AND($B36="",$C36="",$F36="",$G36=""),$H35,$H35+IF($F36="",0,$F36)-IF($G36="",0,$G36))</f>
        <v>2000</v>
      </c>
    </row>
    <row r="37" spans="1:8">
      <c r="A37" s="7"/>
      <c r="B37" s="7"/>
      <c r="C37" s="4"/>
      <c r="D37" s="8"/>
      <c r="E37" s="12"/>
      <c r="F37" s="12"/>
      <c r="G37" s="12"/>
      <c r="H37" s="13">
        <f t="shared" si="1"/>
        <v>2000</v>
      </c>
    </row>
    <row r="38" spans="1:8">
      <c r="A38" s="7"/>
      <c r="B38" s="7"/>
      <c r="C38" s="4"/>
      <c r="D38" s="8"/>
      <c r="E38" s="12"/>
      <c r="F38" s="12"/>
      <c r="G38" s="12"/>
      <c r="H38" s="13">
        <f t="shared" si="1"/>
        <v>2000</v>
      </c>
    </row>
    <row r="39" spans="1:8">
      <c r="A39" s="7"/>
      <c r="B39" s="7"/>
      <c r="C39" s="4"/>
      <c r="D39" s="8"/>
      <c r="E39" s="12"/>
      <c r="F39" s="12"/>
      <c r="G39" s="12"/>
      <c r="H39" s="13">
        <f t="shared" si="1"/>
        <v>2000</v>
      </c>
    </row>
    <row r="40" spans="1:8">
      <c r="A40" s="7"/>
      <c r="B40" s="7"/>
      <c r="C40" s="4"/>
      <c r="D40" s="8"/>
      <c r="E40" s="12"/>
      <c r="F40" s="12"/>
      <c r="G40" s="12"/>
      <c r="H40" s="13">
        <f t="shared" si="1"/>
        <v>2000</v>
      </c>
    </row>
    <row r="41" spans="1:8">
      <c r="A41" s="7"/>
      <c r="B41" s="7"/>
      <c r="C41" s="4"/>
      <c r="D41" s="8"/>
      <c r="E41" s="12"/>
      <c r="F41" s="12"/>
      <c r="G41" s="12"/>
      <c r="H41" s="13">
        <f t="shared" si="1"/>
        <v>2000</v>
      </c>
    </row>
    <row r="42" spans="1:8">
      <c r="A42" s="7"/>
      <c r="B42" s="7"/>
      <c r="C42" s="4"/>
      <c r="D42" s="8"/>
      <c r="E42" s="12"/>
      <c r="F42" s="12"/>
      <c r="G42" s="12"/>
      <c r="H42" s="13">
        <f t="shared" si="1"/>
        <v>2000</v>
      </c>
    </row>
    <row r="43" spans="1:8">
      <c r="A43" s="7"/>
      <c r="B43" s="7"/>
      <c r="C43" s="4"/>
      <c r="D43" s="8"/>
      <c r="E43" s="12"/>
      <c r="F43" s="12"/>
      <c r="G43" s="12"/>
      <c r="H43" s="13">
        <f t="shared" si="1"/>
        <v>2000</v>
      </c>
    </row>
    <row r="44" spans="1:8">
      <c r="A44" s="7"/>
      <c r="B44" s="7"/>
      <c r="C44" s="4"/>
      <c r="D44" s="8"/>
      <c r="E44" s="12"/>
      <c r="F44" s="12"/>
      <c r="G44" s="12"/>
      <c r="H44" s="13">
        <f t="shared" si="1"/>
        <v>2000</v>
      </c>
    </row>
    <row r="45" spans="1:8">
      <c r="A45" s="7"/>
      <c r="B45" s="7"/>
      <c r="C45" s="4"/>
      <c r="D45" s="8"/>
      <c r="E45" s="12"/>
      <c r="F45" s="12"/>
      <c r="G45" s="12"/>
      <c r="H45" s="13">
        <f t="shared" si="1"/>
        <v>2000</v>
      </c>
    </row>
    <row r="46" spans="1:8">
      <c r="A46" s="7"/>
      <c r="B46" s="7"/>
      <c r="C46" s="4"/>
      <c r="D46" s="8"/>
      <c r="E46" s="12"/>
      <c r="F46" s="12"/>
      <c r="G46" s="12"/>
      <c r="H46" s="13">
        <f t="shared" si="1"/>
        <v>2000</v>
      </c>
    </row>
    <row r="47" spans="1:8">
      <c r="A47" s="7"/>
      <c r="B47" s="7"/>
      <c r="C47" s="4"/>
      <c r="D47" s="8"/>
      <c r="E47" s="12"/>
      <c r="F47" s="12"/>
      <c r="G47" s="12"/>
      <c r="H47" s="13">
        <f t="shared" si="1"/>
        <v>2000</v>
      </c>
    </row>
    <row r="48" spans="1:8">
      <c r="A48" s="7"/>
      <c r="B48" s="7"/>
      <c r="C48" s="4"/>
      <c r="D48" s="8"/>
      <c r="E48" s="12"/>
      <c r="F48" s="12"/>
      <c r="G48" s="12"/>
      <c r="H48" s="13">
        <f t="shared" si="1"/>
        <v>2000</v>
      </c>
    </row>
    <row r="49" spans="1:8">
      <c r="A49" s="7"/>
      <c r="B49" s="7"/>
      <c r="C49" s="4"/>
      <c r="D49" s="8"/>
      <c r="E49" s="12"/>
      <c r="F49" s="12"/>
      <c r="G49" s="12"/>
      <c r="H49" s="13">
        <f t="shared" si="1"/>
        <v>2000</v>
      </c>
    </row>
    <row r="50" spans="1:8">
      <c r="A50" s="7"/>
      <c r="B50" s="7"/>
      <c r="C50" s="4"/>
      <c r="D50" s="8"/>
      <c r="E50" s="12"/>
      <c r="F50" s="12"/>
      <c r="G50" s="12"/>
      <c r="H50" s="13">
        <f t="shared" si="1"/>
        <v>2000</v>
      </c>
    </row>
    <row r="51" spans="1:8">
      <c r="A51" s="7"/>
      <c r="B51" s="7"/>
      <c r="C51" s="4"/>
      <c r="D51" s="8"/>
      <c r="E51" s="12"/>
      <c r="F51" s="12"/>
      <c r="G51" s="12"/>
      <c r="H51" s="13">
        <f t="shared" si="1"/>
        <v>2000</v>
      </c>
    </row>
    <row r="52" spans="1:8">
      <c r="A52" s="7"/>
      <c r="B52" s="7"/>
      <c r="C52" s="4"/>
      <c r="D52" s="8"/>
      <c r="E52" s="12"/>
      <c r="F52" s="12"/>
      <c r="G52" s="12"/>
      <c r="H52" s="13">
        <f t="shared" si="1"/>
        <v>2000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كود غير صحيح" error="الكود غير موجود في شيت المخزن - أضفه هناك أولاً" xr:uid="{00000000-0002-0000-0800-000000000000}">
          <x14:formula1>
            <xm:f>المخزن!$A$3:$A$43</xm:f>
          </x14:formula1>
          <x14:formula2>
            <xm:f>0</xm:f>
          </x14:formula2>
          <xm:sqref>C3:C52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6"/>
  <sheetViews>
    <sheetView rightToLeft="1" zoomScaleNormal="100" workbookViewId="0">
      <pane ySplit="2" topLeftCell="A3" activePane="bottomLeft" state="frozen"/>
      <selection pane="bottomLeft" activeCell="B12" sqref="B12"/>
    </sheetView>
  </sheetViews>
  <sheetFormatPr defaultColWidth="8.6640625" defaultRowHeight="14.4"/>
  <cols>
    <col min="1" max="1" width="12" customWidth="1"/>
    <col min="2" max="2" width="30" customWidth="1"/>
    <col min="3" max="3" width="10" customWidth="1"/>
    <col min="4" max="4" width="8" customWidth="1"/>
    <col min="5" max="5" width="10" customWidth="1"/>
    <col min="6" max="8" width="12" customWidth="1"/>
  </cols>
  <sheetData>
    <row r="1" spans="1:8" ht="17.399999999999999" customHeight="1">
      <c r="A1" s="2" t="s">
        <v>247</v>
      </c>
      <c r="B1" s="2"/>
      <c r="C1" s="2"/>
      <c r="D1" s="2"/>
      <c r="E1" s="2"/>
      <c r="F1" s="2"/>
      <c r="G1" s="2"/>
      <c r="H1" s="2"/>
    </row>
    <row r="2" spans="1:8">
      <c r="A2" s="3" t="s">
        <v>125</v>
      </c>
      <c r="B2" s="3" t="s">
        <v>126</v>
      </c>
      <c r="C2" s="3" t="s">
        <v>1</v>
      </c>
      <c r="D2" s="3" t="s">
        <v>127</v>
      </c>
      <c r="E2" s="3" t="s">
        <v>128</v>
      </c>
      <c r="F2" s="3" t="s">
        <v>129</v>
      </c>
      <c r="G2" s="3" t="s">
        <v>130</v>
      </c>
      <c r="H2" s="3" t="s">
        <v>131</v>
      </c>
    </row>
    <row r="3" spans="1:8">
      <c r="A3" s="16" t="s">
        <v>248</v>
      </c>
      <c r="B3" s="7"/>
      <c r="C3" s="4"/>
      <c r="D3" s="8"/>
      <c r="E3" s="12"/>
      <c r="F3" s="12">
        <v>13859</v>
      </c>
      <c r="G3" s="12"/>
      <c r="H3" s="13">
        <f>IF(AND($B3="",$C3="",$F3="",$G3=""),0,0+IF($F3="",0,$F3)-IF($G3="",0,$G3))</f>
        <v>13859</v>
      </c>
    </row>
    <row r="4" spans="1:8">
      <c r="A4" s="16" t="s">
        <v>147</v>
      </c>
      <c r="B4" s="7" t="s">
        <v>136</v>
      </c>
      <c r="C4" s="4"/>
      <c r="D4" s="8"/>
      <c r="E4" s="12"/>
      <c r="F4" s="12"/>
      <c r="G4" s="12">
        <v>6000</v>
      </c>
      <c r="H4" s="13">
        <f t="shared" ref="H4:H26" si="0">IF(AND($B4="",$C4="",$F4="",$G4=""),$H3,$H3+IF($F4="",0,$F4)-IF($G4="",0,$G4))</f>
        <v>7859</v>
      </c>
    </row>
    <row r="5" spans="1:8">
      <c r="A5" s="16" t="s">
        <v>180</v>
      </c>
      <c r="B5" s="7" t="s">
        <v>136</v>
      </c>
      <c r="C5" s="4"/>
      <c r="D5" s="8"/>
      <c r="E5" s="12"/>
      <c r="F5" s="12"/>
      <c r="G5" s="12">
        <v>4000</v>
      </c>
      <c r="H5" s="13">
        <f t="shared" si="0"/>
        <v>3859</v>
      </c>
    </row>
    <row r="6" spans="1:8">
      <c r="A6" s="16" t="s">
        <v>157</v>
      </c>
      <c r="B6" s="7" t="s">
        <v>136</v>
      </c>
      <c r="C6" s="4"/>
      <c r="D6" s="8"/>
      <c r="E6" s="12"/>
      <c r="F6" s="12"/>
      <c r="G6" s="12">
        <v>3000</v>
      </c>
      <c r="H6" s="13">
        <f t="shared" si="0"/>
        <v>859</v>
      </c>
    </row>
    <row r="7" spans="1:8">
      <c r="A7" s="7"/>
      <c r="B7" s="7"/>
      <c r="C7" s="4"/>
      <c r="D7" s="8"/>
      <c r="E7" s="12"/>
      <c r="F7" s="12"/>
      <c r="G7" s="12"/>
      <c r="H7" s="13">
        <f t="shared" si="0"/>
        <v>859</v>
      </c>
    </row>
    <row r="8" spans="1:8">
      <c r="A8" s="7"/>
      <c r="B8" s="7"/>
      <c r="C8" s="4"/>
      <c r="D8" s="8"/>
      <c r="E8" s="12"/>
      <c r="F8" s="12"/>
      <c r="G8" s="12"/>
      <c r="H8" s="13">
        <f t="shared" si="0"/>
        <v>859</v>
      </c>
    </row>
    <row r="9" spans="1:8">
      <c r="A9" s="7"/>
      <c r="B9" s="7"/>
      <c r="C9" s="4"/>
      <c r="D9" s="8"/>
      <c r="E9" s="12"/>
      <c r="F9" s="12"/>
      <c r="G9" s="12"/>
      <c r="H9" s="13">
        <f t="shared" si="0"/>
        <v>859</v>
      </c>
    </row>
    <row r="10" spans="1:8">
      <c r="A10" s="7"/>
      <c r="B10" s="7"/>
      <c r="C10" s="4"/>
      <c r="D10" s="8"/>
      <c r="E10" s="12"/>
      <c r="F10" s="12"/>
      <c r="G10" s="12"/>
      <c r="H10" s="13">
        <f t="shared" si="0"/>
        <v>859</v>
      </c>
    </row>
    <row r="11" spans="1:8">
      <c r="A11" s="7"/>
      <c r="B11" s="7"/>
      <c r="C11" s="4"/>
      <c r="D11" s="8"/>
      <c r="E11" s="12"/>
      <c r="F11" s="12"/>
      <c r="G11" s="12"/>
      <c r="H11" s="13">
        <f t="shared" si="0"/>
        <v>859</v>
      </c>
    </row>
    <row r="12" spans="1:8">
      <c r="A12" s="7"/>
      <c r="B12" s="7"/>
      <c r="C12" s="4"/>
      <c r="D12" s="8"/>
      <c r="E12" s="12"/>
      <c r="F12" s="12"/>
      <c r="G12" s="12"/>
      <c r="H12" s="13">
        <f t="shared" si="0"/>
        <v>859</v>
      </c>
    </row>
    <row r="13" spans="1:8">
      <c r="A13" s="7"/>
      <c r="B13" s="7"/>
      <c r="C13" s="4"/>
      <c r="D13" s="8"/>
      <c r="E13" s="12"/>
      <c r="F13" s="12"/>
      <c r="G13" s="12"/>
      <c r="H13" s="13">
        <f t="shared" si="0"/>
        <v>859</v>
      </c>
    </row>
    <row r="14" spans="1:8">
      <c r="A14" s="7"/>
      <c r="B14" s="7"/>
      <c r="C14" s="4"/>
      <c r="D14" s="8"/>
      <c r="E14" s="12"/>
      <c r="F14" s="12"/>
      <c r="G14" s="12"/>
      <c r="H14" s="13">
        <f t="shared" si="0"/>
        <v>859</v>
      </c>
    </row>
    <row r="15" spans="1:8">
      <c r="A15" s="7"/>
      <c r="B15" s="7"/>
      <c r="C15" s="4"/>
      <c r="D15" s="8"/>
      <c r="E15" s="12"/>
      <c r="F15" s="12"/>
      <c r="G15" s="12"/>
      <c r="H15" s="13">
        <f t="shared" si="0"/>
        <v>859</v>
      </c>
    </row>
    <row r="16" spans="1:8">
      <c r="A16" s="7"/>
      <c r="B16" s="7"/>
      <c r="C16" s="4"/>
      <c r="D16" s="8"/>
      <c r="E16" s="12"/>
      <c r="F16" s="12"/>
      <c r="G16" s="12"/>
      <c r="H16" s="13">
        <f t="shared" si="0"/>
        <v>859</v>
      </c>
    </row>
    <row r="17" spans="1:8">
      <c r="A17" s="7"/>
      <c r="B17" s="7"/>
      <c r="C17" s="4"/>
      <c r="D17" s="8"/>
      <c r="E17" s="12"/>
      <c r="F17" s="12"/>
      <c r="G17" s="12"/>
      <c r="H17" s="13">
        <f t="shared" si="0"/>
        <v>859</v>
      </c>
    </row>
    <row r="18" spans="1:8">
      <c r="A18" s="7"/>
      <c r="B18" s="7"/>
      <c r="C18" s="4"/>
      <c r="D18" s="8"/>
      <c r="E18" s="12"/>
      <c r="F18" s="12"/>
      <c r="G18" s="12"/>
      <c r="H18" s="13">
        <f t="shared" si="0"/>
        <v>859</v>
      </c>
    </row>
    <row r="19" spans="1:8">
      <c r="A19" s="7"/>
      <c r="B19" s="7"/>
      <c r="C19" s="4"/>
      <c r="D19" s="8"/>
      <c r="E19" s="12"/>
      <c r="F19" s="12"/>
      <c r="G19" s="12"/>
      <c r="H19" s="13">
        <f t="shared" si="0"/>
        <v>859</v>
      </c>
    </row>
    <row r="20" spans="1:8">
      <c r="A20" s="7"/>
      <c r="B20" s="7"/>
      <c r="C20" s="4"/>
      <c r="D20" s="8"/>
      <c r="E20" s="12"/>
      <c r="F20" s="12"/>
      <c r="G20" s="12"/>
      <c r="H20" s="13">
        <f t="shared" si="0"/>
        <v>859</v>
      </c>
    </row>
    <row r="21" spans="1:8">
      <c r="A21" s="7"/>
      <c r="B21" s="7"/>
      <c r="C21" s="4"/>
      <c r="D21" s="8"/>
      <c r="E21" s="12"/>
      <c r="F21" s="12"/>
      <c r="G21" s="12"/>
      <c r="H21" s="13">
        <f t="shared" si="0"/>
        <v>859</v>
      </c>
    </row>
    <row r="22" spans="1:8">
      <c r="A22" s="7"/>
      <c r="B22" s="7"/>
      <c r="C22" s="4"/>
      <c r="D22" s="8"/>
      <c r="E22" s="12"/>
      <c r="F22" s="12"/>
      <c r="G22" s="12"/>
      <c r="H22" s="13">
        <f t="shared" si="0"/>
        <v>859</v>
      </c>
    </row>
    <row r="23" spans="1:8">
      <c r="A23" s="7"/>
      <c r="B23" s="7"/>
      <c r="C23" s="4"/>
      <c r="D23" s="8"/>
      <c r="E23" s="12"/>
      <c r="F23" s="12"/>
      <c r="G23" s="12"/>
      <c r="H23" s="13">
        <f t="shared" si="0"/>
        <v>859</v>
      </c>
    </row>
    <row r="24" spans="1:8">
      <c r="A24" s="7"/>
      <c r="B24" s="7"/>
      <c r="C24" s="4"/>
      <c r="D24" s="8"/>
      <c r="E24" s="12"/>
      <c r="F24" s="12"/>
      <c r="G24" s="12"/>
      <c r="H24" s="13">
        <f t="shared" si="0"/>
        <v>859</v>
      </c>
    </row>
    <row r="25" spans="1:8">
      <c r="A25" s="7"/>
      <c r="B25" s="7"/>
      <c r="C25" s="4"/>
      <c r="D25" s="8"/>
      <c r="E25" s="12"/>
      <c r="F25" s="12"/>
      <c r="G25" s="12"/>
      <c r="H25" s="13">
        <f t="shared" si="0"/>
        <v>859</v>
      </c>
    </row>
    <row r="26" spans="1:8">
      <c r="A26" s="7"/>
      <c r="B26" s="7"/>
      <c r="C26" s="4"/>
      <c r="D26" s="8"/>
      <c r="E26" s="12"/>
      <c r="F26" s="12"/>
      <c r="G26" s="12"/>
      <c r="H26" s="13">
        <f t="shared" si="0"/>
        <v>859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كود غير صحيح" error="الكود غير موجود في شيت المخزن - أضفه هناك أولاً" xr:uid="{00000000-0002-0000-0900-000000000000}">
          <x14:formula1>
            <xm:f>المخزن!$A$3:$A$43</xm:f>
          </x14:formula1>
          <x14:formula2>
            <xm:f>0</xm:f>
          </x14:formula2>
          <xm:sqref>C3:C26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5"/>
  <sheetViews>
    <sheetView rightToLeft="1" zoomScaleNormal="100" workbookViewId="0">
      <pane ySplit="2" topLeftCell="A3" activePane="bottomLeft" state="frozen"/>
      <selection pane="bottomLeft" activeCell="B16" sqref="B16"/>
    </sheetView>
  </sheetViews>
  <sheetFormatPr defaultColWidth="8.6640625" defaultRowHeight="14.4"/>
  <cols>
    <col min="1" max="1" width="12" customWidth="1"/>
    <col min="2" max="2" width="30" customWidth="1"/>
    <col min="3" max="3" width="10" customWidth="1"/>
    <col min="4" max="4" width="8" customWidth="1"/>
    <col min="5" max="5" width="10" customWidth="1"/>
    <col min="6" max="8" width="12" customWidth="1"/>
  </cols>
  <sheetData>
    <row r="1" spans="1:8" ht="17.399999999999999" customHeight="1">
      <c r="A1" s="2" t="s">
        <v>249</v>
      </c>
      <c r="B1" s="2"/>
      <c r="C1" s="2"/>
      <c r="D1" s="2"/>
      <c r="E1" s="2"/>
      <c r="F1" s="2"/>
      <c r="G1" s="2"/>
      <c r="H1" s="2"/>
    </row>
    <row r="2" spans="1:8">
      <c r="A2" s="3" t="s">
        <v>125</v>
      </c>
      <c r="B2" s="3" t="s">
        <v>126</v>
      </c>
      <c r="C2" s="3" t="s">
        <v>1</v>
      </c>
      <c r="D2" s="3" t="s">
        <v>127</v>
      </c>
      <c r="E2" s="3" t="s">
        <v>128</v>
      </c>
      <c r="F2" s="3" t="s">
        <v>129</v>
      </c>
      <c r="G2" s="3" t="s">
        <v>130</v>
      </c>
      <c r="H2" s="3" t="s">
        <v>131</v>
      </c>
    </row>
    <row r="3" spans="1:8">
      <c r="A3" s="22">
        <v>46239</v>
      </c>
      <c r="B3" s="7" t="s">
        <v>250</v>
      </c>
      <c r="C3" s="4" t="s">
        <v>49</v>
      </c>
      <c r="D3" s="8">
        <v>12</v>
      </c>
      <c r="E3" s="12">
        <v>350</v>
      </c>
      <c r="F3" s="12">
        <v>4200</v>
      </c>
      <c r="G3" s="12"/>
      <c r="H3" s="13">
        <f>IF(AND($B3="",$C3="",$F3="",$G3=""),0,0+IF($F3="",0,$F3)-IF($G3="",0,$G3))</f>
        <v>4200</v>
      </c>
    </row>
    <row r="4" spans="1:8">
      <c r="A4" s="22">
        <v>46239</v>
      </c>
      <c r="B4" s="7" t="s">
        <v>54</v>
      </c>
      <c r="C4" s="4" t="s">
        <v>53</v>
      </c>
      <c r="D4" s="8">
        <v>12</v>
      </c>
      <c r="E4" s="12">
        <v>275</v>
      </c>
      <c r="F4" s="12">
        <v>3300</v>
      </c>
      <c r="G4" s="12"/>
      <c r="H4" s="13">
        <f t="shared" ref="H4:H35" si="0">IF(AND($B4="",$C4="",$F4="",$G4=""),$H3,$H3+IF($F4="",0,$F4)-IF($G4="",0,$G4))</f>
        <v>7500</v>
      </c>
    </row>
    <row r="5" spans="1:8">
      <c r="A5" s="24">
        <v>46270</v>
      </c>
      <c r="B5" s="7" t="s">
        <v>189</v>
      </c>
      <c r="C5" s="4"/>
      <c r="D5" s="8"/>
      <c r="E5" s="12"/>
      <c r="F5" s="12"/>
      <c r="G5" s="12">
        <v>2000</v>
      </c>
      <c r="H5" s="13">
        <f t="shared" si="0"/>
        <v>5500</v>
      </c>
    </row>
    <row r="6" spans="1:8">
      <c r="A6" s="24">
        <v>46331</v>
      </c>
      <c r="B6" s="7" t="s">
        <v>251</v>
      </c>
      <c r="C6" s="4" t="s">
        <v>45</v>
      </c>
      <c r="D6" s="8">
        <v>12</v>
      </c>
      <c r="E6" s="12">
        <v>175</v>
      </c>
      <c r="F6" s="12">
        <v>2100</v>
      </c>
      <c r="G6" s="12"/>
      <c r="H6" s="13">
        <f t="shared" si="0"/>
        <v>7600</v>
      </c>
    </row>
    <row r="7" spans="1:8">
      <c r="A7" s="16" t="s">
        <v>252</v>
      </c>
      <c r="B7" s="7" t="s">
        <v>136</v>
      </c>
      <c r="C7" s="4"/>
      <c r="D7" s="8"/>
      <c r="E7" s="12"/>
      <c r="F7" s="12"/>
      <c r="G7" s="12">
        <v>2000</v>
      </c>
      <c r="H7" s="13">
        <f t="shared" si="0"/>
        <v>5600</v>
      </c>
    </row>
    <row r="8" spans="1:8">
      <c r="A8" s="16" t="s">
        <v>147</v>
      </c>
      <c r="B8" s="7"/>
      <c r="C8" s="4"/>
      <c r="D8" s="8"/>
      <c r="E8" s="12"/>
      <c r="F8" s="12"/>
      <c r="G8" s="12">
        <v>1500</v>
      </c>
      <c r="H8" s="13">
        <f t="shared" si="0"/>
        <v>4100</v>
      </c>
    </row>
    <row r="9" spans="1:8">
      <c r="A9" s="16" t="s">
        <v>149</v>
      </c>
      <c r="B9" s="7" t="s">
        <v>251</v>
      </c>
      <c r="C9" s="4" t="s">
        <v>45</v>
      </c>
      <c r="D9" s="8">
        <v>12</v>
      </c>
      <c r="E9" s="12">
        <v>175</v>
      </c>
      <c r="F9" s="12">
        <v>2100</v>
      </c>
      <c r="G9" s="12"/>
      <c r="H9" s="13">
        <f t="shared" si="0"/>
        <v>6200</v>
      </c>
    </row>
    <row r="10" spans="1:8">
      <c r="A10" s="16" t="s">
        <v>180</v>
      </c>
      <c r="B10" s="7" t="s">
        <v>186</v>
      </c>
      <c r="C10" s="4" t="s">
        <v>67</v>
      </c>
      <c r="D10" s="8">
        <v>8</v>
      </c>
      <c r="E10" s="12">
        <v>850</v>
      </c>
      <c r="F10" s="12">
        <v>6800</v>
      </c>
      <c r="G10" s="12"/>
      <c r="H10" s="13">
        <f t="shared" si="0"/>
        <v>13000</v>
      </c>
    </row>
    <row r="11" spans="1:8">
      <c r="A11" s="16" t="s">
        <v>239</v>
      </c>
      <c r="B11" s="7" t="s">
        <v>136</v>
      </c>
      <c r="C11" s="4"/>
      <c r="D11" s="8"/>
      <c r="E11" s="12"/>
      <c r="F11" s="12"/>
      <c r="G11" s="12">
        <v>3000</v>
      </c>
      <c r="H11" s="13">
        <f t="shared" si="0"/>
        <v>10000</v>
      </c>
    </row>
    <row r="12" spans="1:8">
      <c r="A12" s="16" t="s">
        <v>253</v>
      </c>
      <c r="B12" s="7" t="s">
        <v>254</v>
      </c>
      <c r="C12" s="4"/>
      <c r="D12" s="8"/>
      <c r="E12" s="12"/>
      <c r="F12" s="12"/>
      <c r="G12" s="12">
        <v>4000</v>
      </c>
      <c r="H12" s="13">
        <f t="shared" si="0"/>
        <v>6000</v>
      </c>
    </row>
    <row r="13" spans="1:8">
      <c r="A13" s="24">
        <v>46059</v>
      </c>
      <c r="B13" s="7" t="s">
        <v>255</v>
      </c>
      <c r="C13" s="4"/>
      <c r="D13" s="8"/>
      <c r="E13" s="12"/>
      <c r="F13" s="12"/>
      <c r="G13" s="12">
        <v>1500</v>
      </c>
      <c r="H13" s="13">
        <f t="shared" si="0"/>
        <v>4500</v>
      </c>
    </row>
    <row r="14" spans="1:8">
      <c r="A14" s="16" t="s">
        <v>256</v>
      </c>
      <c r="B14" s="18" t="s">
        <v>136</v>
      </c>
      <c r="C14" s="4"/>
      <c r="D14" s="8"/>
      <c r="E14" s="12"/>
      <c r="F14" s="12"/>
      <c r="G14" s="12">
        <v>2000</v>
      </c>
      <c r="H14" s="13">
        <f t="shared" si="0"/>
        <v>2500</v>
      </c>
    </row>
    <row r="15" spans="1:8">
      <c r="A15" s="16" t="s">
        <v>219</v>
      </c>
      <c r="B15" s="18" t="s">
        <v>136</v>
      </c>
      <c r="C15" s="4"/>
      <c r="D15" s="8"/>
      <c r="E15" s="12"/>
      <c r="F15" s="12"/>
      <c r="G15" s="12">
        <v>2000</v>
      </c>
      <c r="H15" s="13">
        <f t="shared" si="0"/>
        <v>500</v>
      </c>
    </row>
    <row r="16" spans="1:8">
      <c r="A16" s="7"/>
      <c r="B16" s="7"/>
      <c r="C16" s="4"/>
      <c r="D16" s="8"/>
      <c r="E16" s="12"/>
      <c r="F16" s="12"/>
      <c r="G16" s="12"/>
      <c r="H16" s="13">
        <f t="shared" si="0"/>
        <v>500</v>
      </c>
    </row>
    <row r="17" spans="1:8">
      <c r="A17" s="7"/>
      <c r="B17" s="7"/>
      <c r="C17" s="4"/>
      <c r="D17" s="8"/>
      <c r="E17" s="12"/>
      <c r="F17" s="12"/>
      <c r="G17" s="12"/>
      <c r="H17" s="13">
        <f t="shared" si="0"/>
        <v>500</v>
      </c>
    </row>
    <row r="18" spans="1:8">
      <c r="A18" s="7"/>
      <c r="B18" s="7"/>
      <c r="C18" s="4"/>
      <c r="D18" s="8"/>
      <c r="E18" s="12"/>
      <c r="F18" s="12"/>
      <c r="G18" s="12"/>
      <c r="H18" s="13">
        <f t="shared" si="0"/>
        <v>500</v>
      </c>
    </row>
    <row r="19" spans="1:8">
      <c r="A19" s="7"/>
      <c r="B19" s="7"/>
      <c r="C19" s="4"/>
      <c r="D19" s="8"/>
      <c r="E19" s="12"/>
      <c r="F19" s="12"/>
      <c r="G19" s="12"/>
      <c r="H19" s="13">
        <f t="shared" si="0"/>
        <v>500</v>
      </c>
    </row>
    <row r="20" spans="1:8">
      <c r="A20" s="7"/>
      <c r="B20" s="7"/>
      <c r="C20" s="4"/>
      <c r="D20" s="8"/>
      <c r="E20" s="12"/>
      <c r="F20" s="12"/>
      <c r="G20" s="12"/>
      <c r="H20" s="13">
        <f t="shared" si="0"/>
        <v>500</v>
      </c>
    </row>
    <row r="21" spans="1:8">
      <c r="A21" s="7"/>
      <c r="B21" s="7"/>
      <c r="C21" s="4"/>
      <c r="D21" s="8"/>
      <c r="E21" s="12"/>
      <c r="F21" s="12"/>
      <c r="G21" s="12"/>
      <c r="H21" s="13">
        <f t="shared" si="0"/>
        <v>500</v>
      </c>
    </row>
    <row r="22" spans="1:8">
      <c r="A22" s="7"/>
      <c r="B22" s="7"/>
      <c r="C22" s="4"/>
      <c r="D22" s="8"/>
      <c r="E22" s="12"/>
      <c r="F22" s="12"/>
      <c r="G22" s="12"/>
      <c r="H22" s="13">
        <f t="shared" si="0"/>
        <v>500</v>
      </c>
    </row>
    <row r="23" spans="1:8">
      <c r="A23" s="7"/>
      <c r="B23" s="7"/>
      <c r="C23" s="4"/>
      <c r="D23" s="8"/>
      <c r="E23" s="12"/>
      <c r="F23" s="12"/>
      <c r="G23" s="12"/>
      <c r="H23" s="13">
        <f t="shared" si="0"/>
        <v>500</v>
      </c>
    </row>
    <row r="24" spans="1:8">
      <c r="A24" s="7"/>
      <c r="B24" s="7"/>
      <c r="C24" s="4"/>
      <c r="D24" s="8"/>
      <c r="E24" s="12"/>
      <c r="F24" s="12"/>
      <c r="G24" s="12"/>
      <c r="H24" s="13">
        <f t="shared" si="0"/>
        <v>500</v>
      </c>
    </row>
    <row r="25" spans="1:8">
      <c r="A25" s="7"/>
      <c r="B25" s="7"/>
      <c r="C25" s="4"/>
      <c r="D25" s="8"/>
      <c r="E25" s="12"/>
      <c r="F25" s="12"/>
      <c r="G25" s="12"/>
      <c r="H25" s="13">
        <f t="shared" si="0"/>
        <v>500</v>
      </c>
    </row>
    <row r="26" spans="1:8">
      <c r="A26" s="7"/>
      <c r="B26" s="7"/>
      <c r="C26" s="4"/>
      <c r="D26" s="8"/>
      <c r="E26" s="12"/>
      <c r="F26" s="12"/>
      <c r="G26" s="12"/>
      <c r="H26" s="13">
        <f t="shared" si="0"/>
        <v>500</v>
      </c>
    </row>
    <row r="27" spans="1:8">
      <c r="A27" s="7"/>
      <c r="B27" s="7"/>
      <c r="C27" s="4"/>
      <c r="D27" s="8"/>
      <c r="E27" s="12"/>
      <c r="F27" s="12"/>
      <c r="G27" s="12"/>
      <c r="H27" s="13">
        <f t="shared" si="0"/>
        <v>500</v>
      </c>
    </row>
    <row r="28" spans="1:8">
      <c r="A28" s="7"/>
      <c r="B28" s="7"/>
      <c r="C28" s="4"/>
      <c r="D28" s="8"/>
      <c r="E28" s="12"/>
      <c r="F28" s="12"/>
      <c r="G28" s="12"/>
      <c r="H28" s="13">
        <f t="shared" si="0"/>
        <v>500</v>
      </c>
    </row>
    <row r="29" spans="1:8">
      <c r="A29" s="7"/>
      <c r="B29" s="7"/>
      <c r="C29" s="4"/>
      <c r="D29" s="8"/>
      <c r="E29" s="12"/>
      <c r="F29" s="12"/>
      <c r="G29" s="12"/>
      <c r="H29" s="13">
        <f t="shared" si="0"/>
        <v>500</v>
      </c>
    </row>
    <row r="30" spans="1:8">
      <c r="A30" s="7"/>
      <c r="B30" s="7"/>
      <c r="C30" s="4"/>
      <c r="D30" s="8"/>
      <c r="E30" s="12"/>
      <c r="F30" s="12"/>
      <c r="G30" s="12"/>
      <c r="H30" s="13">
        <f t="shared" si="0"/>
        <v>500</v>
      </c>
    </row>
    <row r="31" spans="1:8">
      <c r="A31" s="7"/>
      <c r="B31" s="7"/>
      <c r="C31" s="4"/>
      <c r="D31" s="8"/>
      <c r="E31" s="12"/>
      <c r="F31" s="12"/>
      <c r="G31" s="12"/>
      <c r="H31" s="13">
        <f t="shared" si="0"/>
        <v>500</v>
      </c>
    </row>
    <row r="32" spans="1:8">
      <c r="A32" s="7"/>
      <c r="B32" s="7"/>
      <c r="C32" s="4"/>
      <c r="D32" s="8"/>
      <c r="E32" s="12"/>
      <c r="F32" s="12"/>
      <c r="G32" s="12"/>
      <c r="H32" s="13">
        <f t="shared" si="0"/>
        <v>500</v>
      </c>
    </row>
    <row r="33" spans="1:8">
      <c r="A33" s="7"/>
      <c r="B33" s="7"/>
      <c r="C33" s="4"/>
      <c r="D33" s="8"/>
      <c r="E33" s="12"/>
      <c r="F33" s="12"/>
      <c r="G33" s="12"/>
      <c r="H33" s="13">
        <f t="shared" si="0"/>
        <v>500</v>
      </c>
    </row>
    <row r="34" spans="1:8">
      <c r="A34" s="7"/>
      <c r="B34" s="7"/>
      <c r="C34" s="4"/>
      <c r="D34" s="8"/>
      <c r="E34" s="12"/>
      <c r="F34" s="12"/>
      <c r="G34" s="12"/>
      <c r="H34" s="13">
        <f t="shared" si="0"/>
        <v>500</v>
      </c>
    </row>
    <row r="35" spans="1:8">
      <c r="A35" s="7"/>
      <c r="B35" s="7"/>
      <c r="C35" s="4"/>
      <c r="D35" s="8"/>
      <c r="E35" s="12"/>
      <c r="F35" s="12"/>
      <c r="G35" s="12"/>
      <c r="H35" s="13">
        <f t="shared" si="0"/>
        <v>500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كود غير صحيح" error="الكود غير موجود في شيت المخزن - أضفه هناك أولاً" xr:uid="{00000000-0002-0000-0A00-000000000000}">
          <x14:formula1>
            <xm:f>المخزن!$A$3:$A$43</xm:f>
          </x14:formula1>
          <x14:formula2>
            <xm:f>0</xm:f>
          </x14:formula2>
          <xm:sqref>C3:C35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43"/>
  <sheetViews>
    <sheetView rightToLeft="1" zoomScaleNormal="100" workbookViewId="0">
      <pane ySplit="2" topLeftCell="A13" activePane="bottomLeft" state="frozen"/>
      <selection pane="bottomLeft" activeCell="A26" sqref="A26"/>
    </sheetView>
  </sheetViews>
  <sheetFormatPr defaultColWidth="8.6640625" defaultRowHeight="14.4"/>
  <cols>
    <col min="1" max="1" width="12" customWidth="1"/>
    <col min="2" max="2" width="30" customWidth="1"/>
    <col min="3" max="3" width="10" customWidth="1"/>
    <col min="4" max="4" width="8" customWidth="1"/>
    <col min="5" max="5" width="10" customWidth="1"/>
    <col min="6" max="8" width="12" customWidth="1"/>
  </cols>
  <sheetData>
    <row r="1" spans="1:8" ht="17.399999999999999" customHeight="1">
      <c r="A1" s="2" t="s">
        <v>257</v>
      </c>
      <c r="B1" s="2"/>
      <c r="C1" s="2"/>
      <c r="D1" s="2"/>
      <c r="E1" s="2"/>
      <c r="F1" s="2"/>
      <c r="G1" s="2"/>
      <c r="H1" s="2"/>
    </row>
    <row r="2" spans="1:8">
      <c r="A2" s="3" t="s">
        <v>125</v>
      </c>
      <c r="B2" s="3" t="s">
        <v>126</v>
      </c>
      <c r="C2" s="3" t="s">
        <v>1</v>
      </c>
      <c r="D2" s="3" t="s">
        <v>127</v>
      </c>
      <c r="E2" s="3" t="s">
        <v>128</v>
      </c>
      <c r="F2" s="3" t="s">
        <v>129</v>
      </c>
      <c r="G2" s="3" t="s">
        <v>130</v>
      </c>
      <c r="H2" s="3" t="s">
        <v>131</v>
      </c>
    </row>
    <row r="3" spans="1:8">
      <c r="A3" s="7" t="s">
        <v>166</v>
      </c>
      <c r="B3" s="7" t="s">
        <v>111</v>
      </c>
      <c r="C3" s="4" t="s">
        <v>110</v>
      </c>
      <c r="D3" s="8">
        <v>8</v>
      </c>
      <c r="E3" s="12">
        <v>175</v>
      </c>
      <c r="F3" s="12">
        <v>1400</v>
      </c>
      <c r="G3" s="12"/>
      <c r="H3" s="13">
        <f>IF(AND($B3="",$C3="",$F3="",$G3=""),0,0+IF($F3="",0,$F3)-IF($G3="",0,$G3))</f>
        <v>1400</v>
      </c>
    </row>
    <row r="4" spans="1:8">
      <c r="A4" s="7" t="s">
        <v>166</v>
      </c>
      <c r="B4" s="7" t="s">
        <v>258</v>
      </c>
      <c r="C4" s="4"/>
      <c r="D4" s="8"/>
      <c r="E4" s="12"/>
      <c r="F4" s="12"/>
      <c r="G4" s="12">
        <v>500</v>
      </c>
      <c r="H4" s="13">
        <f t="shared" ref="H4:H43" si="0">IF(AND($B4="",$C4="",$F4="",$G4=""),$H3,$H3+IF($F4="",0,$F4)-IF($G4="",0,$G4))</f>
        <v>900</v>
      </c>
    </row>
    <row r="5" spans="1:8">
      <c r="A5" s="7" t="s">
        <v>180</v>
      </c>
      <c r="B5" s="7" t="s">
        <v>259</v>
      </c>
      <c r="C5" s="4" t="s">
        <v>43</v>
      </c>
      <c r="D5" s="8">
        <v>12</v>
      </c>
      <c r="E5" s="12">
        <v>420</v>
      </c>
      <c r="F5" s="12">
        <v>5040</v>
      </c>
      <c r="G5" s="12"/>
      <c r="H5" s="13">
        <f t="shared" si="0"/>
        <v>5940</v>
      </c>
    </row>
    <row r="6" spans="1:8">
      <c r="A6" s="7" t="s">
        <v>180</v>
      </c>
      <c r="B6" s="7" t="s">
        <v>141</v>
      </c>
      <c r="C6" s="4" t="s">
        <v>39</v>
      </c>
      <c r="D6" s="8">
        <v>8</v>
      </c>
      <c r="E6" s="12">
        <v>320</v>
      </c>
      <c r="F6" s="12">
        <v>2560</v>
      </c>
      <c r="G6" s="12"/>
      <c r="H6" s="13">
        <f t="shared" si="0"/>
        <v>8500</v>
      </c>
    </row>
    <row r="7" spans="1:8">
      <c r="A7" s="7" t="s">
        <v>180</v>
      </c>
      <c r="B7" s="7" t="s">
        <v>68</v>
      </c>
      <c r="C7" s="4" t="s">
        <v>67</v>
      </c>
      <c r="D7" s="8">
        <v>4</v>
      </c>
      <c r="E7" s="12">
        <v>850</v>
      </c>
      <c r="F7" s="12">
        <v>3400</v>
      </c>
      <c r="G7" s="12"/>
      <c r="H7" s="13">
        <f t="shared" si="0"/>
        <v>11900</v>
      </c>
    </row>
    <row r="8" spans="1:8">
      <c r="A8" s="7" t="s">
        <v>236</v>
      </c>
      <c r="B8" s="7" t="s">
        <v>260</v>
      </c>
      <c r="C8" s="4"/>
      <c r="D8" s="8"/>
      <c r="E8" s="12"/>
      <c r="F8" s="12"/>
      <c r="G8" s="12">
        <v>700</v>
      </c>
      <c r="H8" s="13">
        <f t="shared" si="0"/>
        <v>11200</v>
      </c>
    </row>
    <row r="9" spans="1:8">
      <c r="A9" s="7" t="s">
        <v>236</v>
      </c>
      <c r="B9" s="7" t="s">
        <v>217</v>
      </c>
      <c r="C9" s="4" t="s">
        <v>45</v>
      </c>
      <c r="D9" s="8">
        <v>4</v>
      </c>
      <c r="E9" s="12">
        <v>175</v>
      </c>
      <c r="F9" s="12">
        <v>700</v>
      </c>
      <c r="G9" s="12"/>
      <c r="H9" s="13">
        <f t="shared" si="0"/>
        <v>11900</v>
      </c>
    </row>
    <row r="10" spans="1:8">
      <c r="A10" s="7" t="s">
        <v>182</v>
      </c>
      <c r="B10" s="7" t="s">
        <v>172</v>
      </c>
      <c r="C10" s="4"/>
      <c r="D10" s="8"/>
      <c r="E10" s="12"/>
      <c r="F10" s="12"/>
      <c r="G10" s="12">
        <v>11000</v>
      </c>
      <c r="H10" s="13">
        <f t="shared" si="0"/>
        <v>900</v>
      </c>
    </row>
    <row r="11" spans="1:8">
      <c r="A11" s="7" t="s">
        <v>182</v>
      </c>
      <c r="B11" s="7" t="s">
        <v>189</v>
      </c>
      <c r="C11" s="4"/>
      <c r="D11" s="8"/>
      <c r="E11" s="12"/>
      <c r="F11" s="12"/>
      <c r="G11" s="12">
        <v>500</v>
      </c>
      <c r="H11" s="13">
        <f t="shared" si="0"/>
        <v>400</v>
      </c>
    </row>
    <row r="12" spans="1:8">
      <c r="A12" s="7" t="s">
        <v>198</v>
      </c>
      <c r="B12" s="7" t="s">
        <v>87</v>
      </c>
      <c r="C12" s="4" t="s">
        <v>112</v>
      </c>
      <c r="D12" s="8">
        <v>4</v>
      </c>
      <c r="E12" s="12">
        <v>385</v>
      </c>
      <c r="F12" s="12">
        <v>1540</v>
      </c>
      <c r="G12" s="12"/>
      <c r="H12" s="13">
        <f t="shared" si="0"/>
        <v>1940</v>
      </c>
    </row>
    <row r="13" spans="1:8">
      <c r="A13" s="16" t="s">
        <v>198</v>
      </c>
      <c r="B13" s="7" t="s">
        <v>78</v>
      </c>
      <c r="C13" s="4" t="s">
        <v>77</v>
      </c>
      <c r="D13" s="8">
        <v>8</v>
      </c>
      <c r="E13" s="12">
        <v>365</v>
      </c>
      <c r="F13" s="12">
        <v>2920</v>
      </c>
      <c r="G13" s="12"/>
      <c r="H13" s="13">
        <f t="shared" si="0"/>
        <v>4860</v>
      </c>
    </row>
    <row r="14" spans="1:8">
      <c r="A14" s="16" t="s">
        <v>198</v>
      </c>
      <c r="B14" s="7" t="s">
        <v>84</v>
      </c>
      <c r="C14" s="4" t="s">
        <v>113</v>
      </c>
      <c r="D14" s="8">
        <v>8</v>
      </c>
      <c r="E14" s="12">
        <v>385</v>
      </c>
      <c r="F14" s="12">
        <v>3080</v>
      </c>
      <c r="G14" s="12"/>
      <c r="H14" s="13">
        <f t="shared" si="0"/>
        <v>7940</v>
      </c>
    </row>
    <row r="15" spans="1:8">
      <c r="A15" s="16" t="s">
        <v>198</v>
      </c>
      <c r="B15" s="7" t="s">
        <v>136</v>
      </c>
      <c r="C15" s="4"/>
      <c r="D15" s="8"/>
      <c r="E15" s="12"/>
      <c r="F15" s="12"/>
      <c r="G15" s="12">
        <v>1000</v>
      </c>
      <c r="H15" s="13">
        <f t="shared" si="0"/>
        <v>6940</v>
      </c>
    </row>
    <row r="16" spans="1:8">
      <c r="A16" s="16" t="s">
        <v>199</v>
      </c>
      <c r="B16" s="7" t="s">
        <v>189</v>
      </c>
      <c r="C16" s="4"/>
      <c r="D16" s="8"/>
      <c r="E16" s="12"/>
      <c r="F16" s="12"/>
      <c r="G16" s="12">
        <v>2000</v>
      </c>
      <c r="H16" s="13">
        <f t="shared" si="0"/>
        <v>4940</v>
      </c>
    </row>
    <row r="17" spans="1:8">
      <c r="A17" s="24">
        <v>46089</v>
      </c>
      <c r="B17" s="7"/>
      <c r="C17" s="4"/>
      <c r="D17" s="8"/>
      <c r="E17" s="12"/>
      <c r="F17" s="12"/>
      <c r="G17" s="12">
        <v>2000</v>
      </c>
      <c r="H17" s="13">
        <f t="shared" si="0"/>
        <v>2940</v>
      </c>
    </row>
    <row r="18" spans="1:8">
      <c r="A18" s="24">
        <v>46089</v>
      </c>
      <c r="B18" s="7" t="s">
        <v>62</v>
      </c>
      <c r="C18" s="4" t="s">
        <v>61</v>
      </c>
      <c r="D18" s="8">
        <v>12</v>
      </c>
      <c r="E18" s="12">
        <v>350</v>
      </c>
      <c r="F18" s="12">
        <v>4200</v>
      </c>
      <c r="G18" s="12"/>
      <c r="H18" s="13">
        <f t="shared" si="0"/>
        <v>7140</v>
      </c>
    </row>
    <row r="19" spans="1:8">
      <c r="A19" s="24">
        <v>46089</v>
      </c>
      <c r="B19" s="7" t="s">
        <v>261</v>
      </c>
      <c r="C19" s="4"/>
      <c r="D19" s="8"/>
      <c r="E19" s="12"/>
      <c r="F19" s="12"/>
      <c r="G19" s="12">
        <v>365</v>
      </c>
      <c r="H19" s="13">
        <f t="shared" si="0"/>
        <v>6775</v>
      </c>
    </row>
    <row r="20" spans="1:8">
      <c r="A20" s="24">
        <v>46089</v>
      </c>
      <c r="B20" s="7"/>
      <c r="C20" s="4"/>
      <c r="D20" s="8"/>
      <c r="E20" s="12"/>
      <c r="F20" s="12"/>
      <c r="G20" s="12">
        <v>2000</v>
      </c>
      <c r="H20" s="13">
        <f t="shared" si="0"/>
        <v>4775</v>
      </c>
    </row>
    <row r="21" spans="1:8">
      <c r="A21" s="16" t="s">
        <v>132</v>
      </c>
      <c r="B21" s="7" t="s">
        <v>136</v>
      </c>
      <c r="C21" s="4"/>
      <c r="D21" s="8"/>
      <c r="E21" s="12"/>
      <c r="F21" s="12"/>
      <c r="G21" s="12">
        <v>2000</v>
      </c>
      <c r="H21" s="13">
        <f t="shared" si="0"/>
        <v>2775</v>
      </c>
    </row>
    <row r="22" spans="1:8">
      <c r="A22" s="16" t="s">
        <v>246</v>
      </c>
      <c r="B22" s="7" t="s">
        <v>262</v>
      </c>
      <c r="C22" s="4"/>
      <c r="D22" s="8">
        <v>12</v>
      </c>
      <c r="E22" s="12">
        <v>350</v>
      </c>
      <c r="F22" s="12">
        <v>4200</v>
      </c>
      <c r="G22" s="12"/>
      <c r="H22" s="13">
        <f t="shared" si="0"/>
        <v>6975</v>
      </c>
    </row>
    <row r="23" spans="1:8">
      <c r="A23" s="16" t="s">
        <v>246</v>
      </c>
      <c r="B23" s="7" t="s">
        <v>263</v>
      </c>
      <c r="C23" s="4"/>
      <c r="D23" s="8"/>
      <c r="E23" s="12"/>
      <c r="F23" s="12"/>
      <c r="G23" s="12">
        <v>2500</v>
      </c>
      <c r="H23" s="13">
        <f t="shared" si="0"/>
        <v>4475</v>
      </c>
    </row>
    <row r="24" spans="1:8">
      <c r="A24" s="7"/>
      <c r="B24" s="7"/>
      <c r="C24" s="4"/>
      <c r="D24" s="8"/>
      <c r="E24" s="12"/>
      <c r="F24" s="12"/>
      <c r="G24" s="12"/>
      <c r="H24" s="13">
        <f t="shared" si="0"/>
        <v>4475</v>
      </c>
    </row>
    <row r="25" spans="1:8">
      <c r="A25" s="7"/>
      <c r="B25" s="7"/>
      <c r="C25" s="4"/>
      <c r="D25" s="8"/>
      <c r="E25" s="12"/>
      <c r="F25" s="12"/>
      <c r="G25" s="12"/>
      <c r="H25" s="13">
        <f t="shared" si="0"/>
        <v>4475</v>
      </c>
    </row>
    <row r="26" spans="1:8">
      <c r="A26" s="7"/>
      <c r="B26" s="7"/>
      <c r="C26" s="4"/>
      <c r="D26" s="8"/>
      <c r="E26" s="12"/>
      <c r="F26" s="12"/>
      <c r="G26" s="12"/>
      <c r="H26" s="13">
        <f t="shared" si="0"/>
        <v>4475</v>
      </c>
    </row>
    <row r="27" spans="1:8">
      <c r="A27" s="7"/>
      <c r="B27" s="7"/>
      <c r="C27" s="4"/>
      <c r="D27" s="8"/>
      <c r="E27" s="12"/>
      <c r="F27" s="12"/>
      <c r="G27" s="12"/>
      <c r="H27" s="13">
        <f t="shared" si="0"/>
        <v>4475</v>
      </c>
    </row>
    <row r="28" spans="1:8">
      <c r="A28" s="7"/>
      <c r="B28" s="7"/>
      <c r="C28" s="4"/>
      <c r="D28" s="8"/>
      <c r="E28" s="12"/>
      <c r="F28" s="12"/>
      <c r="G28" s="12"/>
      <c r="H28" s="13">
        <f t="shared" si="0"/>
        <v>4475</v>
      </c>
    </row>
    <row r="29" spans="1:8">
      <c r="A29" s="7"/>
      <c r="B29" s="7"/>
      <c r="C29" s="4"/>
      <c r="D29" s="8"/>
      <c r="E29" s="12"/>
      <c r="F29" s="12"/>
      <c r="G29" s="12"/>
      <c r="H29" s="13">
        <f t="shared" si="0"/>
        <v>4475</v>
      </c>
    </row>
    <row r="30" spans="1:8">
      <c r="A30" s="7"/>
      <c r="B30" s="7"/>
      <c r="C30" s="4"/>
      <c r="D30" s="8"/>
      <c r="E30" s="12"/>
      <c r="F30" s="12"/>
      <c r="G30" s="12"/>
      <c r="H30" s="13">
        <f t="shared" si="0"/>
        <v>4475</v>
      </c>
    </row>
    <row r="31" spans="1:8">
      <c r="A31" s="7"/>
      <c r="B31" s="7"/>
      <c r="C31" s="4"/>
      <c r="D31" s="8"/>
      <c r="E31" s="12"/>
      <c r="F31" s="12"/>
      <c r="G31" s="12"/>
      <c r="H31" s="13">
        <f t="shared" si="0"/>
        <v>4475</v>
      </c>
    </row>
    <row r="32" spans="1:8">
      <c r="A32" s="7"/>
      <c r="B32" s="7"/>
      <c r="C32" s="4"/>
      <c r="D32" s="8"/>
      <c r="E32" s="12"/>
      <c r="F32" s="12"/>
      <c r="G32" s="12"/>
      <c r="H32" s="13">
        <f t="shared" si="0"/>
        <v>4475</v>
      </c>
    </row>
    <row r="33" spans="1:8">
      <c r="A33" s="7"/>
      <c r="B33" s="7"/>
      <c r="C33" s="4"/>
      <c r="D33" s="8"/>
      <c r="E33" s="12"/>
      <c r="F33" s="12"/>
      <c r="G33" s="12"/>
      <c r="H33" s="13">
        <f t="shared" si="0"/>
        <v>4475</v>
      </c>
    </row>
    <row r="34" spans="1:8">
      <c r="A34" s="7"/>
      <c r="B34" s="7"/>
      <c r="C34" s="4"/>
      <c r="D34" s="8"/>
      <c r="E34" s="12"/>
      <c r="F34" s="12"/>
      <c r="G34" s="12"/>
      <c r="H34" s="13">
        <f t="shared" si="0"/>
        <v>4475</v>
      </c>
    </row>
    <row r="35" spans="1:8">
      <c r="A35" s="7"/>
      <c r="B35" s="7"/>
      <c r="C35" s="4"/>
      <c r="D35" s="8"/>
      <c r="E35" s="12"/>
      <c r="F35" s="12"/>
      <c r="G35" s="12"/>
      <c r="H35" s="13">
        <f t="shared" si="0"/>
        <v>4475</v>
      </c>
    </row>
    <row r="36" spans="1:8">
      <c r="A36" s="7"/>
      <c r="B36" s="7"/>
      <c r="C36" s="4"/>
      <c r="D36" s="8"/>
      <c r="E36" s="12"/>
      <c r="F36" s="12"/>
      <c r="G36" s="12"/>
      <c r="H36" s="13">
        <f t="shared" si="0"/>
        <v>4475</v>
      </c>
    </row>
    <row r="37" spans="1:8">
      <c r="A37" s="7"/>
      <c r="B37" s="7"/>
      <c r="C37" s="4"/>
      <c r="D37" s="8"/>
      <c r="E37" s="12"/>
      <c r="F37" s="12"/>
      <c r="G37" s="12"/>
      <c r="H37" s="13">
        <f t="shared" si="0"/>
        <v>4475</v>
      </c>
    </row>
    <row r="38" spans="1:8">
      <c r="A38" s="7"/>
      <c r="B38" s="7"/>
      <c r="C38" s="4"/>
      <c r="D38" s="8"/>
      <c r="E38" s="12"/>
      <c r="F38" s="12"/>
      <c r="G38" s="12"/>
      <c r="H38" s="13">
        <f t="shared" si="0"/>
        <v>4475</v>
      </c>
    </row>
    <row r="39" spans="1:8">
      <c r="A39" s="7"/>
      <c r="B39" s="7"/>
      <c r="C39" s="4"/>
      <c r="D39" s="8"/>
      <c r="E39" s="12"/>
      <c r="F39" s="12"/>
      <c r="G39" s="12"/>
      <c r="H39" s="13">
        <f t="shared" si="0"/>
        <v>4475</v>
      </c>
    </row>
    <row r="40" spans="1:8">
      <c r="A40" s="7"/>
      <c r="B40" s="7"/>
      <c r="C40" s="4"/>
      <c r="D40" s="8"/>
      <c r="E40" s="12"/>
      <c r="F40" s="12"/>
      <c r="G40" s="12"/>
      <c r="H40" s="13">
        <f t="shared" si="0"/>
        <v>4475</v>
      </c>
    </row>
    <row r="41" spans="1:8">
      <c r="A41" s="7"/>
      <c r="B41" s="7"/>
      <c r="C41" s="4"/>
      <c r="D41" s="8"/>
      <c r="E41" s="12"/>
      <c r="F41" s="12"/>
      <c r="G41" s="12"/>
      <c r="H41" s="13">
        <f t="shared" si="0"/>
        <v>4475</v>
      </c>
    </row>
    <row r="42" spans="1:8">
      <c r="A42" s="7"/>
      <c r="B42" s="7"/>
      <c r="C42" s="4"/>
      <c r="D42" s="8"/>
      <c r="E42" s="12"/>
      <c r="F42" s="12"/>
      <c r="G42" s="12"/>
      <c r="H42" s="13">
        <f t="shared" si="0"/>
        <v>4475</v>
      </c>
    </row>
    <row r="43" spans="1:8">
      <c r="A43" s="7"/>
      <c r="B43" s="7"/>
      <c r="C43" s="4"/>
      <c r="D43" s="8"/>
      <c r="E43" s="12"/>
      <c r="F43" s="12"/>
      <c r="G43" s="12"/>
      <c r="H43" s="13">
        <f t="shared" si="0"/>
        <v>4475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كود غير صحيح" error="الكود غير موجود في شيت المخزن - أضفه هناك أولاً" xr:uid="{00000000-0002-0000-0B00-000000000000}">
          <x14:formula1>
            <xm:f>المخزن!$A$3:$A$43</xm:f>
          </x14:formula1>
          <x14:formula2>
            <xm:f>0</xm:f>
          </x14:formula2>
          <xm:sqref>C3:C43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6"/>
  <sheetViews>
    <sheetView rightToLeft="1" zoomScaleNormal="100" workbookViewId="0">
      <pane ySplit="2" topLeftCell="A3" activePane="bottomLeft" state="frozen"/>
      <selection pane="bottomLeft" activeCell="A16" sqref="A16"/>
    </sheetView>
  </sheetViews>
  <sheetFormatPr defaultColWidth="8.6640625" defaultRowHeight="14.4"/>
  <cols>
    <col min="1" max="1" width="12" customWidth="1"/>
    <col min="2" max="2" width="30" customWidth="1"/>
    <col min="3" max="3" width="10" customWidth="1"/>
    <col min="4" max="4" width="8" customWidth="1"/>
    <col min="5" max="5" width="10" customWidth="1"/>
    <col min="6" max="8" width="12" customWidth="1"/>
  </cols>
  <sheetData>
    <row r="1" spans="1:8" ht="17.399999999999999" customHeight="1">
      <c r="A1" s="2" t="s">
        <v>264</v>
      </c>
      <c r="B1" s="2"/>
      <c r="C1" s="2"/>
      <c r="D1" s="2"/>
      <c r="E1" s="2"/>
      <c r="F1" s="2"/>
      <c r="G1" s="2"/>
      <c r="H1" s="2"/>
    </row>
    <row r="2" spans="1:8">
      <c r="A2" s="3" t="s">
        <v>125</v>
      </c>
      <c r="B2" s="3" t="s">
        <v>126</v>
      </c>
      <c r="C2" s="3" t="s">
        <v>1</v>
      </c>
      <c r="D2" s="3" t="s">
        <v>127</v>
      </c>
      <c r="E2" s="3" t="s">
        <v>128</v>
      </c>
      <c r="F2" s="3" t="s">
        <v>129</v>
      </c>
      <c r="G2" s="3" t="s">
        <v>130</v>
      </c>
      <c r="H2" s="3" t="s">
        <v>131</v>
      </c>
    </row>
    <row r="3" spans="1:8">
      <c r="A3" s="22">
        <v>46030</v>
      </c>
      <c r="B3" s="7" t="s">
        <v>226</v>
      </c>
      <c r="C3" s="4" t="s">
        <v>63</v>
      </c>
      <c r="D3" s="8">
        <v>16</v>
      </c>
      <c r="E3" s="12">
        <v>350</v>
      </c>
      <c r="F3" s="12">
        <v>5600</v>
      </c>
      <c r="G3" s="12"/>
      <c r="H3" s="13">
        <f>IF(AND($B3="",$C3="",$F3="",$G3=""),0,0+IF($F3="",0,$F3)-IF($G3="",0,$G3))</f>
        <v>5600</v>
      </c>
    </row>
    <row r="4" spans="1:8">
      <c r="A4" s="22">
        <v>46030</v>
      </c>
      <c r="B4" s="18" t="s">
        <v>136</v>
      </c>
      <c r="C4" s="4"/>
      <c r="D4" s="8"/>
      <c r="E4" s="12"/>
      <c r="F4" s="12">
        <v>2500</v>
      </c>
      <c r="G4" s="12"/>
      <c r="H4" s="13">
        <f t="shared" ref="H4:H26" si="0">IF(AND($B4="",$C4="",$F4="",$G4=""),$H3,$H3+IF($F4="",0,$F4)-IF($G4="",0,$G4))</f>
        <v>8100</v>
      </c>
    </row>
    <row r="5" spans="1:8">
      <c r="A5" s="16" t="s">
        <v>246</v>
      </c>
      <c r="B5" s="7" t="s">
        <v>245</v>
      </c>
      <c r="C5" s="4" t="s">
        <v>100</v>
      </c>
      <c r="D5" s="8">
        <v>8</v>
      </c>
      <c r="E5" s="12">
        <v>360</v>
      </c>
      <c r="F5" s="12">
        <v>2880</v>
      </c>
      <c r="G5" s="12"/>
      <c r="H5" s="13">
        <f t="shared" si="0"/>
        <v>10980</v>
      </c>
    </row>
    <row r="6" spans="1:8">
      <c r="A6" s="16" t="s">
        <v>246</v>
      </c>
      <c r="B6" s="7" t="s">
        <v>265</v>
      </c>
      <c r="C6" s="4" t="s">
        <v>102</v>
      </c>
      <c r="D6" s="8">
        <v>12</v>
      </c>
      <c r="E6" s="12">
        <v>360</v>
      </c>
      <c r="F6" s="12">
        <v>4320</v>
      </c>
      <c r="G6" s="12"/>
      <c r="H6" s="13">
        <f t="shared" si="0"/>
        <v>15300</v>
      </c>
    </row>
    <row r="7" spans="1:8">
      <c r="A7" s="7"/>
      <c r="B7" s="7"/>
      <c r="C7" s="4"/>
      <c r="D7" s="8"/>
      <c r="E7" s="12"/>
      <c r="F7" s="12"/>
      <c r="G7" s="12"/>
      <c r="H7" s="13">
        <f t="shared" si="0"/>
        <v>15300</v>
      </c>
    </row>
    <row r="8" spans="1:8">
      <c r="A8" s="7"/>
      <c r="B8" s="7"/>
      <c r="C8" s="4"/>
      <c r="D8" s="8"/>
      <c r="E8" s="12"/>
      <c r="F8" s="12"/>
      <c r="G8" s="12"/>
      <c r="H8" s="13">
        <f t="shared" si="0"/>
        <v>15300</v>
      </c>
    </row>
    <row r="9" spans="1:8">
      <c r="A9" s="7"/>
      <c r="B9" s="7"/>
      <c r="C9" s="4"/>
      <c r="D9" s="8"/>
      <c r="E9" s="12"/>
      <c r="F9" s="12"/>
      <c r="G9" s="12"/>
      <c r="H9" s="13">
        <f t="shared" si="0"/>
        <v>15300</v>
      </c>
    </row>
    <row r="10" spans="1:8">
      <c r="A10" s="7"/>
      <c r="B10" s="7"/>
      <c r="C10" s="4"/>
      <c r="D10" s="8"/>
      <c r="E10" s="12"/>
      <c r="F10" s="12"/>
      <c r="G10" s="12"/>
      <c r="H10" s="13">
        <f t="shared" si="0"/>
        <v>15300</v>
      </c>
    </row>
    <row r="11" spans="1:8">
      <c r="A11" s="7"/>
      <c r="B11" s="7"/>
      <c r="C11" s="4"/>
      <c r="D11" s="8"/>
      <c r="E11" s="12"/>
      <c r="F11" s="12"/>
      <c r="G11" s="12"/>
      <c r="H11" s="13">
        <f t="shared" si="0"/>
        <v>15300</v>
      </c>
    </row>
    <row r="12" spans="1:8">
      <c r="A12" s="7"/>
      <c r="B12" s="7"/>
      <c r="C12" s="4"/>
      <c r="D12" s="8"/>
      <c r="E12" s="12"/>
      <c r="F12" s="12"/>
      <c r="G12" s="12"/>
      <c r="H12" s="13">
        <f t="shared" si="0"/>
        <v>15300</v>
      </c>
    </row>
    <row r="13" spans="1:8">
      <c r="A13" s="7"/>
      <c r="B13" s="7"/>
      <c r="C13" s="4"/>
      <c r="D13" s="8"/>
      <c r="E13" s="12"/>
      <c r="F13" s="12"/>
      <c r="G13" s="12"/>
      <c r="H13" s="13">
        <f t="shared" si="0"/>
        <v>15300</v>
      </c>
    </row>
    <row r="14" spans="1:8">
      <c r="A14" s="7"/>
      <c r="B14" s="7"/>
      <c r="C14" s="4"/>
      <c r="D14" s="8"/>
      <c r="E14" s="12"/>
      <c r="F14" s="12"/>
      <c r="G14" s="12"/>
      <c r="H14" s="13">
        <f t="shared" si="0"/>
        <v>15300</v>
      </c>
    </row>
    <row r="15" spans="1:8">
      <c r="A15" s="7"/>
      <c r="B15" s="7"/>
      <c r="C15" s="4"/>
      <c r="D15" s="8"/>
      <c r="E15" s="12"/>
      <c r="F15" s="12"/>
      <c r="G15" s="12"/>
      <c r="H15" s="13">
        <f t="shared" si="0"/>
        <v>15300</v>
      </c>
    </row>
    <row r="16" spans="1:8">
      <c r="A16" s="7"/>
      <c r="B16" s="7"/>
      <c r="C16" s="4"/>
      <c r="D16" s="8"/>
      <c r="E16" s="12"/>
      <c r="F16" s="12"/>
      <c r="G16" s="12"/>
      <c r="H16" s="13">
        <f t="shared" si="0"/>
        <v>15300</v>
      </c>
    </row>
    <row r="17" spans="1:8">
      <c r="A17" s="7"/>
      <c r="B17" s="7"/>
      <c r="C17" s="4"/>
      <c r="D17" s="8"/>
      <c r="E17" s="12"/>
      <c r="F17" s="12"/>
      <c r="G17" s="12"/>
      <c r="H17" s="13">
        <f t="shared" si="0"/>
        <v>15300</v>
      </c>
    </row>
    <row r="18" spans="1:8">
      <c r="A18" s="7"/>
      <c r="B18" s="7"/>
      <c r="C18" s="4"/>
      <c r="D18" s="8"/>
      <c r="E18" s="12"/>
      <c r="F18" s="12"/>
      <c r="G18" s="12"/>
      <c r="H18" s="13">
        <f t="shared" si="0"/>
        <v>15300</v>
      </c>
    </row>
    <row r="19" spans="1:8">
      <c r="A19" s="7"/>
      <c r="B19" s="7"/>
      <c r="C19" s="4"/>
      <c r="D19" s="8"/>
      <c r="E19" s="12"/>
      <c r="F19" s="12"/>
      <c r="G19" s="12"/>
      <c r="H19" s="13">
        <f t="shared" si="0"/>
        <v>15300</v>
      </c>
    </row>
    <row r="20" spans="1:8">
      <c r="A20" s="7"/>
      <c r="B20" s="7"/>
      <c r="C20" s="4"/>
      <c r="D20" s="8"/>
      <c r="E20" s="12"/>
      <c r="F20" s="12"/>
      <c r="G20" s="12"/>
      <c r="H20" s="13">
        <f t="shared" si="0"/>
        <v>15300</v>
      </c>
    </row>
    <row r="21" spans="1:8">
      <c r="A21" s="7"/>
      <c r="B21" s="7"/>
      <c r="C21" s="4"/>
      <c r="D21" s="8"/>
      <c r="E21" s="12"/>
      <c r="F21" s="12"/>
      <c r="G21" s="12"/>
      <c r="H21" s="13">
        <f t="shared" si="0"/>
        <v>15300</v>
      </c>
    </row>
    <row r="22" spans="1:8">
      <c r="A22" s="7"/>
      <c r="B22" s="7"/>
      <c r="C22" s="4"/>
      <c r="D22" s="8"/>
      <c r="E22" s="12"/>
      <c r="F22" s="12"/>
      <c r="G22" s="12"/>
      <c r="H22" s="13">
        <f t="shared" si="0"/>
        <v>15300</v>
      </c>
    </row>
    <row r="23" spans="1:8">
      <c r="A23" s="7"/>
      <c r="B23" s="7"/>
      <c r="C23" s="4"/>
      <c r="D23" s="8"/>
      <c r="E23" s="12"/>
      <c r="F23" s="12"/>
      <c r="G23" s="12"/>
      <c r="H23" s="13">
        <f t="shared" si="0"/>
        <v>15300</v>
      </c>
    </row>
    <row r="24" spans="1:8">
      <c r="A24" s="7"/>
      <c r="B24" s="7"/>
      <c r="C24" s="4"/>
      <c r="D24" s="8"/>
      <c r="E24" s="12"/>
      <c r="F24" s="12"/>
      <c r="G24" s="12"/>
      <c r="H24" s="13">
        <f t="shared" si="0"/>
        <v>15300</v>
      </c>
    </row>
    <row r="25" spans="1:8">
      <c r="A25" s="7"/>
      <c r="B25" s="7"/>
      <c r="C25" s="4"/>
      <c r="D25" s="8"/>
      <c r="E25" s="12"/>
      <c r="F25" s="12"/>
      <c r="G25" s="12"/>
      <c r="H25" s="13">
        <f t="shared" si="0"/>
        <v>15300</v>
      </c>
    </row>
    <row r="26" spans="1:8">
      <c r="A26" s="7"/>
      <c r="B26" s="7"/>
      <c r="C26" s="4"/>
      <c r="D26" s="8"/>
      <c r="E26" s="12"/>
      <c r="F26" s="12"/>
      <c r="G26" s="12"/>
      <c r="H26" s="13">
        <f t="shared" si="0"/>
        <v>15300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كود غير صحيح" error="الكود غير موجود في شيت المخزن - أضفه هناك أولاً" xr:uid="{00000000-0002-0000-0C00-000000000000}">
          <x14:formula1>
            <xm:f>المخزن!$A$3:$A$43</xm:f>
          </x14:formula1>
          <x14:formula2>
            <xm:f>0</xm:f>
          </x14:formula2>
          <xm:sqref>C3:C26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48"/>
  <sheetViews>
    <sheetView rightToLeft="1" zoomScaleNormal="100" workbookViewId="0">
      <pane ySplit="2" topLeftCell="A3" activePane="bottomLeft" state="frozen"/>
      <selection pane="bottomLeft" sqref="A1:H1"/>
    </sheetView>
  </sheetViews>
  <sheetFormatPr defaultColWidth="8.6640625" defaultRowHeight="14.4"/>
  <cols>
    <col min="1" max="1" width="12" customWidth="1"/>
    <col min="2" max="2" width="30" customWidth="1"/>
    <col min="3" max="3" width="10" customWidth="1"/>
    <col min="4" max="4" width="8" customWidth="1"/>
    <col min="5" max="5" width="10" customWidth="1"/>
    <col min="6" max="8" width="12" customWidth="1"/>
  </cols>
  <sheetData>
    <row r="1" spans="1:8" ht="17.399999999999999" customHeight="1">
      <c r="A1" s="2" t="s">
        <v>266</v>
      </c>
      <c r="B1" s="2"/>
      <c r="C1" s="2"/>
      <c r="D1" s="2"/>
      <c r="E1" s="2"/>
      <c r="F1" s="2"/>
      <c r="G1" s="2"/>
      <c r="H1" s="2"/>
    </row>
    <row r="2" spans="1:8">
      <c r="A2" s="3" t="s">
        <v>125</v>
      </c>
      <c r="B2" s="3" t="s">
        <v>126</v>
      </c>
      <c r="C2" s="3" t="s">
        <v>1</v>
      </c>
      <c r="D2" s="3" t="s">
        <v>127</v>
      </c>
      <c r="E2" s="3" t="s">
        <v>128</v>
      </c>
      <c r="F2" s="3" t="s">
        <v>129</v>
      </c>
      <c r="G2" s="3" t="s">
        <v>130</v>
      </c>
      <c r="H2" s="3" t="s">
        <v>131</v>
      </c>
    </row>
    <row r="3" spans="1:8">
      <c r="A3" s="7" t="s">
        <v>144</v>
      </c>
      <c r="B3" s="7" t="s">
        <v>52</v>
      </c>
      <c r="C3" s="4" t="s">
        <v>51</v>
      </c>
      <c r="D3" s="8">
        <v>32</v>
      </c>
      <c r="E3" s="12">
        <v>350</v>
      </c>
      <c r="F3" s="12">
        <v>11200</v>
      </c>
      <c r="G3" s="12"/>
      <c r="H3" s="13">
        <f>IF(AND($B3="",$C3="",$F3="",$G3=""),0,0+IF($F3="",0,$F3)-IF($G3="",0,$G3))</f>
        <v>11200</v>
      </c>
    </row>
    <row r="4" spans="1:8">
      <c r="A4" s="7" t="s">
        <v>144</v>
      </c>
      <c r="B4" s="7" t="s">
        <v>250</v>
      </c>
      <c r="C4" s="4" t="s">
        <v>49</v>
      </c>
      <c r="D4" s="8">
        <v>24</v>
      </c>
      <c r="E4" s="12">
        <v>310</v>
      </c>
      <c r="F4" s="12">
        <v>7440</v>
      </c>
      <c r="G4" s="12"/>
      <c r="H4" s="13">
        <f t="shared" ref="H4:H48" si="0">IF(AND($B4="",$C4="",$F4="",$G4=""),$H3,$H3+IF($F4="",0,$F4)-IF($G4="",0,$G4))</f>
        <v>18640</v>
      </c>
    </row>
    <row r="5" spans="1:8">
      <c r="A5" s="7" t="s">
        <v>144</v>
      </c>
      <c r="B5" s="7" t="s">
        <v>60</v>
      </c>
      <c r="C5" s="4" t="s">
        <v>59</v>
      </c>
      <c r="D5" s="8">
        <v>32</v>
      </c>
      <c r="E5" s="12">
        <v>275</v>
      </c>
      <c r="F5" s="12">
        <v>8800</v>
      </c>
      <c r="G5" s="12"/>
      <c r="H5" s="13">
        <f t="shared" si="0"/>
        <v>27440</v>
      </c>
    </row>
    <row r="6" spans="1:8">
      <c r="A6" s="7" t="s">
        <v>144</v>
      </c>
      <c r="B6" s="7" t="s">
        <v>48</v>
      </c>
      <c r="C6" s="4" t="s">
        <v>47</v>
      </c>
      <c r="D6" s="8">
        <v>32</v>
      </c>
      <c r="E6" s="12">
        <v>240</v>
      </c>
      <c r="F6" s="12">
        <v>7680</v>
      </c>
      <c r="G6" s="12"/>
      <c r="H6" s="13">
        <f t="shared" si="0"/>
        <v>35120</v>
      </c>
    </row>
    <row r="7" spans="1:8">
      <c r="A7" s="7" t="s">
        <v>144</v>
      </c>
      <c r="B7" s="7" t="s">
        <v>46</v>
      </c>
      <c r="C7" s="4" t="s">
        <v>45</v>
      </c>
      <c r="D7" s="8">
        <v>40</v>
      </c>
      <c r="E7" s="12">
        <v>150</v>
      </c>
      <c r="F7" s="12">
        <v>6000</v>
      </c>
      <c r="G7" s="12"/>
      <c r="H7" s="13">
        <f t="shared" si="0"/>
        <v>41120</v>
      </c>
    </row>
    <row r="8" spans="1:8">
      <c r="A8" s="7" t="s">
        <v>144</v>
      </c>
      <c r="B8" s="7" t="s">
        <v>139</v>
      </c>
      <c r="C8" s="4" t="s">
        <v>37</v>
      </c>
      <c r="D8" s="8">
        <v>24</v>
      </c>
      <c r="E8" s="12">
        <v>320</v>
      </c>
      <c r="F8" s="12">
        <v>7680</v>
      </c>
      <c r="G8" s="12"/>
      <c r="H8" s="13">
        <f t="shared" si="0"/>
        <v>48800</v>
      </c>
    </row>
    <row r="9" spans="1:8">
      <c r="A9" s="7" t="s">
        <v>144</v>
      </c>
      <c r="B9" s="7" t="s">
        <v>141</v>
      </c>
      <c r="C9" s="4" t="s">
        <v>39</v>
      </c>
      <c r="D9" s="8">
        <v>16</v>
      </c>
      <c r="E9" s="12">
        <v>380</v>
      </c>
      <c r="F9" s="12">
        <v>6080</v>
      </c>
      <c r="G9" s="12"/>
      <c r="H9" s="13">
        <f t="shared" si="0"/>
        <v>54880</v>
      </c>
    </row>
    <row r="10" spans="1:8">
      <c r="A10" s="7" t="s">
        <v>144</v>
      </c>
      <c r="B10" s="7" t="s">
        <v>171</v>
      </c>
      <c r="C10" s="4" t="s">
        <v>43</v>
      </c>
      <c r="D10" s="8">
        <v>12</v>
      </c>
      <c r="E10" s="12">
        <v>400</v>
      </c>
      <c r="F10" s="12">
        <v>4800</v>
      </c>
      <c r="G10" s="12"/>
      <c r="H10" s="13">
        <f t="shared" si="0"/>
        <v>59680</v>
      </c>
    </row>
    <row r="11" spans="1:8">
      <c r="A11" s="7" t="s">
        <v>144</v>
      </c>
      <c r="B11" s="7"/>
      <c r="C11" s="4"/>
      <c r="D11" s="8"/>
      <c r="E11" s="12"/>
      <c r="F11" s="12">
        <v>0</v>
      </c>
      <c r="G11" s="12"/>
      <c r="H11" s="13">
        <f t="shared" si="0"/>
        <v>59680</v>
      </c>
    </row>
    <row r="12" spans="1:8">
      <c r="A12" s="7" t="s">
        <v>144</v>
      </c>
      <c r="B12" s="7"/>
      <c r="C12" s="4"/>
      <c r="D12" s="8"/>
      <c r="E12" s="12"/>
      <c r="F12" s="12">
        <v>0</v>
      </c>
      <c r="G12" s="12">
        <v>10000</v>
      </c>
      <c r="H12" s="13">
        <f t="shared" si="0"/>
        <v>49680</v>
      </c>
    </row>
    <row r="13" spans="1:8">
      <c r="A13" s="7" t="s">
        <v>144</v>
      </c>
      <c r="B13" s="7"/>
      <c r="C13" s="4"/>
      <c r="D13" s="8"/>
      <c r="E13" s="12"/>
      <c r="F13" s="12">
        <v>0</v>
      </c>
      <c r="G13" s="12"/>
      <c r="H13" s="13">
        <f t="shared" si="0"/>
        <v>49680</v>
      </c>
    </row>
    <row r="14" spans="1:8">
      <c r="A14" s="11">
        <v>46178</v>
      </c>
      <c r="B14" s="7" t="s">
        <v>54</v>
      </c>
      <c r="C14" s="4" t="s">
        <v>53</v>
      </c>
      <c r="D14" s="8">
        <v>24</v>
      </c>
      <c r="E14" s="12">
        <v>250</v>
      </c>
      <c r="F14" s="12">
        <v>6000</v>
      </c>
      <c r="G14" s="12"/>
      <c r="H14" s="13">
        <f t="shared" si="0"/>
        <v>55680</v>
      </c>
    </row>
    <row r="15" spans="1:8">
      <c r="A15" s="11">
        <v>46178</v>
      </c>
      <c r="B15" s="7" t="s">
        <v>56</v>
      </c>
      <c r="C15" s="4" t="s">
        <v>55</v>
      </c>
      <c r="D15" s="8">
        <v>32</v>
      </c>
      <c r="E15" s="12">
        <v>275</v>
      </c>
      <c r="F15" s="12">
        <v>8800</v>
      </c>
      <c r="G15" s="12"/>
      <c r="H15" s="13">
        <f t="shared" si="0"/>
        <v>64480</v>
      </c>
    </row>
    <row r="16" spans="1:8">
      <c r="A16" s="11">
        <v>46178</v>
      </c>
      <c r="B16" s="7" t="s">
        <v>58</v>
      </c>
      <c r="C16" s="4" t="s">
        <v>57</v>
      </c>
      <c r="D16" s="8">
        <v>24</v>
      </c>
      <c r="E16" s="12">
        <v>275</v>
      </c>
      <c r="F16" s="12">
        <v>6600</v>
      </c>
      <c r="G16" s="12"/>
      <c r="H16" s="13">
        <f t="shared" si="0"/>
        <v>71080</v>
      </c>
    </row>
    <row r="17" spans="1:8">
      <c r="A17" s="11">
        <v>46178</v>
      </c>
      <c r="B17" s="7" t="s">
        <v>115</v>
      </c>
      <c r="C17" s="4" t="s">
        <v>114</v>
      </c>
      <c r="D17" s="8">
        <v>20</v>
      </c>
      <c r="E17" s="12">
        <v>320</v>
      </c>
      <c r="F17" s="12">
        <v>6400</v>
      </c>
      <c r="G17" s="12"/>
      <c r="H17" s="13">
        <f t="shared" si="0"/>
        <v>77480</v>
      </c>
    </row>
    <row r="18" spans="1:8">
      <c r="A18" s="11">
        <v>46208</v>
      </c>
      <c r="B18" s="7" t="s">
        <v>267</v>
      </c>
      <c r="C18" s="4" t="s">
        <v>51</v>
      </c>
      <c r="D18" s="8">
        <v>8</v>
      </c>
      <c r="E18" s="12">
        <v>350</v>
      </c>
      <c r="F18" s="12"/>
      <c r="G18" s="12">
        <v>2800</v>
      </c>
      <c r="H18" s="13">
        <f t="shared" si="0"/>
        <v>74680</v>
      </c>
    </row>
    <row r="19" spans="1:8">
      <c r="A19" s="11">
        <v>46270</v>
      </c>
      <c r="B19" s="7"/>
      <c r="C19" s="4"/>
      <c r="D19" s="8"/>
      <c r="E19" s="12"/>
      <c r="F19" s="12"/>
      <c r="G19" s="12">
        <v>10000</v>
      </c>
      <c r="H19" s="13">
        <f t="shared" si="0"/>
        <v>64680</v>
      </c>
    </row>
    <row r="20" spans="1:8">
      <c r="A20" s="7" t="s">
        <v>157</v>
      </c>
      <c r="B20" s="7"/>
      <c r="C20" s="4"/>
      <c r="D20" s="8"/>
      <c r="E20" s="12"/>
      <c r="F20" s="12"/>
      <c r="G20" s="12">
        <v>7000</v>
      </c>
      <c r="H20" s="13">
        <f t="shared" si="0"/>
        <v>57680</v>
      </c>
    </row>
    <row r="21" spans="1:8">
      <c r="A21" s="7" t="s">
        <v>157</v>
      </c>
      <c r="B21" s="7"/>
      <c r="C21" s="4"/>
      <c r="D21" s="8">
        <v>24</v>
      </c>
      <c r="E21" s="12">
        <v>275</v>
      </c>
      <c r="F21" s="12"/>
      <c r="G21" s="12">
        <v>6600</v>
      </c>
      <c r="H21" s="13">
        <f t="shared" si="0"/>
        <v>51080</v>
      </c>
    </row>
    <row r="22" spans="1:8">
      <c r="A22" s="7" t="s">
        <v>157</v>
      </c>
      <c r="B22" s="7"/>
      <c r="C22" s="4"/>
      <c r="D22" s="8">
        <v>24</v>
      </c>
      <c r="E22" s="12">
        <v>275</v>
      </c>
      <c r="F22" s="12"/>
      <c r="G22" s="12">
        <v>6600</v>
      </c>
      <c r="H22" s="13">
        <f t="shared" si="0"/>
        <v>44480</v>
      </c>
    </row>
    <row r="23" spans="1:8">
      <c r="A23" s="7" t="s">
        <v>157</v>
      </c>
      <c r="B23" s="7"/>
      <c r="C23" s="4"/>
      <c r="D23" s="8">
        <v>20</v>
      </c>
      <c r="E23" s="12">
        <v>320</v>
      </c>
      <c r="F23" s="12"/>
      <c r="G23" s="12">
        <v>6400</v>
      </c>
      <c r="H23" s="13">
        <f t="shared" si="0"/>
        <v>38080</v>
      </c>
    </row>
    <row r="24" spans="1:8">
      <c r="A24" s="7" t="s">
        <v>157</v>
      </c>
      <c r="B24" s="7"/>
      <c r="C24" s="4"/>
      <c r="D24" s="8">
        <v>28</v>
      </c>
      <c r="E24" s="12">
        <v>240</v>
      </c>
      <c r="F24" s="12"/>
      <c r="G24" s="12">
        <v>6720</v>
      </c>
      <c r="H24" s="13">
        <f t="shared" si="0"/>
        <v>31360</v>
      </c>
    </row>
    <row r="25" spans="1:8">
      <c r="A25" s="7" t="s">
        <v>157</v>
      </c>
      <c r="B25" s="7"/>
      <c r="C25" s="4"/>
      <c r="D25" s="8">
        <v>28</v>
      </c>
      <c r="E25" s="12">
        <v>275</v>
      </c>
      <c r="F25" s="12"/>
      <c r="G25" s="12">
        <v>7700</v>
      </c>
      <c r="H25" s="13">
        <f t="shared" si="0"/>
        <v>23660</v>
      </c>
    </row>
    <row r="26" spans="1:8">
      <c r="A26" s="7" t="s">
        <v>157</v>
      </c>
      <c r="B26" s="7"/>
      <c r="C26" s="4"/>
      <c r="D26" s="8">
        <v>36</v>
      </c>
      <c r="E26" s="12">
        <v>150</v>
      </c>
      <c r="F26" s="12"/>
      <c r="G26" s="12">
        <v>5400</v>
      </c>
      <c r="H26" s="13">
        <f t="shared" si="0"/>
        <v>18260</v>
      </c>
    </row>
    <row r="27" spans="1:8">
      <c r="A27" s="7" t="s">
        <v>157</v>
      </c>
      <c r="B27" s="7"/>
      <c r="C27" s="4"/>
      <c r="D27" s="8">
        <v>24</v>
      </c>
      <c r="E27" s="12">
        <v>310</v>
      </c>
      <c r="F27" s="12"/>
      <c r="G27" s="12">
        <v>7440</v>
      </c>
      <c r="H27" s="13">
        <f t="shared" si="0"/>
        <v>10820</v>
      </c>
    </row>
    <row r="28" spans="1:8">
      <c r="A28" s="7" t="s">
        <v>268</v>
      </c>
      <c r="B28" s="7"/>
      <c r="C28" s="4"/>
      <c r="D28" s="8"/>
      <c r="E28" s="12"/>
      <c r="F28" s="12"/>
      <c r="G28" s="12">
        <v>6000</v>
      </c>
      <c r="H28" s="13">
        <f t="shared" si="0"/>
        <v>4820</v>
      </c>
    </row>
    <row r="29" spans="1:8">
      <c r="A29" s="7"/>
      <c r="B29" s="7"/>
      <c r="C29" s="4"/>
      <c r="D29" s="8"/>
      <c r="E29" s="12"/>
      <c r="F29" s="12"/>
      <c r="G29" s="12"/>
      <c r="H29" s="13">
        <f t="shared" si="0"/>
        <v>4820</v>
      </c>
    </row>
    <row r="30" spans="1:8">
      <c r="A30" s="7"/>
      <c r="B30" s="7"/>
      <c r="C30" s="4"/>
      <c r="D30" s="8"/>
      <c r="E30" s="12"/>
      <c r="F30" s="12"/>
      <c r="G30" s="12"/>
      <c r="H30" s="13">
        <f t="shared" si="0"/>
        <v>4820</v>
      </c>
    </row>
    <row r="31" spans="1:8">
      <c r="A31" s="7"/>
      <c r="B31" s="7"/>
      <c r="C31" s="4"/>
      <c r="D31" s="8"/>
      <c r="E31" s="12"/>
      <c r="F31" s="12"/>
      <c r="G31" s="12"/>
      <c r="H31" s="13">
        <f t="shared" si="0"/>
        <v>4820</v>
      </c>
    </row>
    <row r="32" spans="1:8">
      <c r="A32" s="7"/>
      <c r="B32" s="7"/>
      <c r="C32" s="4"/>
      <c r="D32" s="8"/>
      <c r="E32" s="12"/>
      <c r="F32" s="12"/>
      <c r="G32" s="12"/>
      <c r="H32" s="13">
        <f t="shared" si="0"/>
        <v>4820</v>
      </c>
    </row>
    <row r="33" spans="1:8">
      <c r="A33" s="7"/>
      <c r="B33" s="7"/>
      <c r="C33" s="4"/>
      <c r="D33" s="8"/>
      <c r="E33" s="12"/>
      <c r="F33" s="12"/>
      <c r="G33" s="12"/>
      <c r="H33" s="13">
        <f t="shared" si="0"/>
        <v>4820</v>
      </c>
    </row>
    <row r="34" spans="1:8">
      <c r="A34" s="7"/>
      <c r="B34" s="7"/>
      <c r="C34" s="4"/>
      <c r="D34" s="8"/>
      <c r="E34" s="12"/>
      <c r="F34" s="12"/>
      <c r="G34" s="12"/>
      <c r="H34" s="13">
        <f t="shared" si="0"/>
        <v>4820</v>
      </c>
    </row>
    <row r="35" spans="1:8">
      <c r="A35" s="7"/>
      <c r="B35" s="7"/>
      <c r="C35" s="4"/>
      <c r="D35" s="8"/>
      <c r="E35" s="12"/>
      <c r="F35" s="12"/>
      <c r="G35" s="12"/>
      <c r="H35" s="13">
        <f t="shared" si="0"/>
        <v>4820</v>
      </c>
    </row>
    <row r="36" spans="1:8">
      <c r="A36" s="7"/>
      <c r="B36" s="7"/>
      <c r="C36" s="4"/>
      <c r="D36" s="8"/>
      <c r="E36" s="12"/>
      <c r="F36" s="12"/>
      <c r="G36" s="12"/>
      <c r="H36" s="13">
        <f t="shared" si="0"/>
        <v>4820</v>
      </c>
    </row>
    <row r="37" spans="1:8">
      <c r="A37" s="7"/>
      <c r="B37" s="7"/>
      <c r="C37" s="4"/>
      <c r="D37" s="8"/>
      <c r="E37" s="12"/>
      <c r="F37" s="12"/>
      <c r="G37" s="12"/>
      <c r="H37" s="13">
        <f t="shared" si="0"/>
        <v>4820</v>
      </c>
    </row>
    <row r="38" spans="1:8">
      <c r="A38" s="7"/>
      <c r="B38" s="7"/>
      <c r="C38" s="4"/>
      <c r="D38" s="8"/>
      <c r="E38" s="12"/>
      <c r="F38" s="12"/>
      <c r="G38" s="12"/>
      <c r="H38" s="13">
        <f t="shared" si="0"/>
        <v>4820</v>
      </c>
    </row>
    <row r="39" spans="1:8">
      <c r="A39" s="7"/>
      <c r="B39" s="7"/>
      <c r="C39" s="4"/>
      <c r="D39" s="8"/>
      <c r="E39" s="12"/>
      <c r="F39" s="12"/>
      <c r="G39" s="12"/>
      <c r="H39" s="13">
        <f t="shared" si="0"/>
        <v>4820</v>
      </c>
    </row>
    <row r="40" spans="1:8">
      <c r="A40" s="7"/>
      <c r="B40" s="7"/>
      <c r="C40" s="4"/>
      <c r="D40" s="8"/>
      <c r="E40" s="12"/>
      <c r="F40" s="12"/>
      <c r="G40" s="12"/>
      <c r="H40" s="13">
        <f t="shared" si="0"/>
        <v>4820</v>
      </c>
    </row>
    <row r="41" spans="1:8">
      <c r="A41" s="7"/>
      <c r="B41" s="7"/>
      <c r="C41" s="4"/>
      <c r="D41" s="8"/>
      <c r="E41" s="12"/>
      <c r="F41" s="12"/>
      <c r="G41" s="12"/>
      <c r="H41" s="13">
        <f t="shared" si="0"/>
        <v>4820</v>
      </c>
    </row>
    <row r="42" spans="1:8">
      <c r="A42" s="7"/>
      <c r="B42" s="7"/>
      <c r="C42" s="4"/>
      <c r="D42" s="8"/>
      <c r="E42" s="12"/>
      <c r="F42" s="12"/>
      <c r="G42" s="12"/>
      <c r="H42" s="13">
        <f t="shared" si="0"/>
        <v>4820</v>
      </c>
    </row>
    <row r="43" spans="1:8">
      <c r="A43" s="7"/>
      <c r="B43" s="7"/>
      <c r="C43" s="4"/>
      <c r="D43" s="8"/>
      <c r="E43" s="12"/>
      <c r="F43" s="12"/>
      <c r="G43" s="12"/>
      <c r="H43" s="13">
        <f t="shared" si="0"/>
        <v>4820</v>
      </c>
    </row>
    <row r="44" spans="1:8">
      <c r="A44" s="7"/>
      <c r="B44" s="7"/>
      <c r="C44" s="4"/>
      <c r="D44" s="8"/>
      <c r="E44" s="12"/>
      <c r="F44" s="12"/>
      <c r="G44" s="12"/>
      <c r="H44" s="13">
        <f t="shared" si="0"/>
        <v>4820</v>
      </c>
    </row>
    <row r="45" spans="1:8">
      <c r="A45" s="7"/>
      <c r="B45" s="7"/>
      <c r="C45" s="4"/>
      <c r="D45" s="8"/>
      <c r="E45" s="12"/>
      <c r="F45" s="12"/>
      <c r="G45" s="12"/>
      <c r="H45" s="13">
        <f t="shared" si="0"/>
        <v>4820</v>
      </c>
    </row>
    <row r="46" spans="1:8">
      <c r="A46" s="7"/>
      <c r="B46" s="7"/>
      <c r="C46" s="4"/>
      <c r="D46" s="8"/>
      <c r="E46" s="12"/>
      <c r="F46" s="12"/>
      <c r="G46" s="12"/>
      <c r="H46" s="13">
        <f t="shared" si="0"/>
        <v>4820</v>
      </c>
    </row>
    <row r="47" spans="1:8">
      <c r="A47" s="7"/>
      <c r="B47" s="7"/>
      <c r="C47" s="4"/>
      <c r="D47" s="8"/>
      <c r="E47" s="12"/>
      <c r="F47" s="12"/>
      <c r="G47" s="12"/>
      <c r="H47" s="13">
        <f t="shared" si="0"/>
        <v>4820</v>
      </c>
    </row>
    <row r="48" spans="1:8">
      <c r="A48" s="7"/>
      <c r="B48" s="7"/>
      <c r="C48" s="4"/>
      <c r="D48" s="8"/>
      <c r="E48" s="12"/>
      <c r="F48" s="12"/>
      <c r="G48" s="12"/>
      <c r="H48" s="13">
        <f t="shared" si="0"/>
        <v>4820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كود غير صحيح" error="الكود غير موجود في شيت المخزن - أضفه هناك أولاً" xr:uid="{00000000-0002-0000-0D00-000000000000}">
          <x14:formula1>
            <xm:f>المخزن!$A$3:$A$43</xm:f>
          </x14:formula1>
          <x14:formula2>
            <xm:f>0</xm:f>
          </x14:formula2>
          <xm:sqref>C3:C48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23"/>
  <sheetViews>
    <sheetView rightToLeft="1" zoomScaleNormal="100" workbookViewId="0">
      <pane ySplit="2" topLeftCell="A3" activePane="bottomLeft" state="frozen"/>
      <selection pane="bottomLeft" sqref="A1:H1"/>
    </sheetView>
  </sheetViews>
  <sheetFormatPr defaultColWidth="8.6640625" defaultRowHeight="14.4"/>
  <cols>
    <col min="1" max="1" width="12" customWidth="1"/>
    <col min="2" max="2" width="30" customWidth="1"/>
    <col min="3" max="3" width="10" customWidth="1"/>
    <col min="4" max="4" width="8" customWidth="1"/>
    <col min="5" max="5" width="10" customWidth="1"/>
    <col min="6" max="8" width="12" customWidth="1"/>
  </cols>
  <sheetData>
    <row r="1" spans="1:8" ht="17.399999999999999" customHeight="1">
      <c r="A1" s="2" t="s">
        <v>269</v>
      </c>
      <c r="B1" s="2"/>
      <c r="C1" s="2"/>
      <c r="D1" s="2"/>
      <c r="E1" s="2"/>
      <c r="F1" s="2"/>
      <c r="G1" s="2"/>
      <c r="H1" s="2"/>
    </row>
    <row r="2" spans="1:8">
      <c r="A2" s="3" t="s">
        <v>125</v>
      </c>
      <c r="B2" s="3" t="s">
        <v>126</v>
      </c>
      <c r="C2" s="3" t="s">
        <v>1</v>
      </c>
      <c r="D2" s="3" t="s">
        <v>127</v>
      </c>
      <c r="E2" s="3" t="s">
        <v>128</v>
      </c>
      <c r="F2" s="3" t="s">
        <v>129</v>
      </c>
      <c r="G2" s="3" t="s">
        <v>130</v>
      </c>
      <c r="H2" s="3" t="s">
        <v>131</v>
      </c>
    </row>
    <row r="3" spans="1:8">
      <c r="A3" s="7"/>
      <c r="B3" s="7"/>
      <c r="C3" s="4"/>
      <c r="D3" s="8"/>
      <c r="E3" s="12"/>
      <c r="F3" s="12">
        <v>0</v>
      </c>
      <c r="G3" s="12"/>
      <c r="H3" s="13">
        <f>IF(AND($B3="",$C3="",$F3="",$G3=""),0,0+IF($F3="",0,$F3)-IF($G3="",0,$G3))</f>
        <v>0</v>
      </c>
    </row>
    <row r="4" spans="1:8">
      <c r="A4" s="7"/>
      <c r="B4" s="7"/>
      <c r="C4" s="4"/>
      <c r="D4" s="8"/>
      <c r="E4" s="12"/>
      <c r="F4" s="12"/>
      <c r="G4" s="12"/>
      <c r="H4" s="13">
        <f t="shared" ref="H4:H23" si="0">IF(AND($B4="",$C4="",$F4="",$G4=""),$H3,$H3+IF($F4="",0,$F4)-IF($G4="",0,$G4))</f>
        <v>0</v>
      </c>
    </row>
    <row r="5" spans="1:8">
      <c r="A5" s="7"/>
      <c r="B5" s="7"/>
      <c r="C5" s="4"/>
      <c r="D5" s="8"/>
      <c r="E5" s="12"/>
      <c r="F5" s="12"/>
      <c r="G5" s="12"/>
      <c r="H5" s="13">
        <f t="shared" si="0"/>
        <v>0</v>
      </c>
    </row>
    <row r="6" spans="1:8">
      <c r="A6" s="7"/>
      <c r="B6" s="7"/>
      <c r="C6" s="4"/>
      <c r="D6" s="8"/>
      <c r="E6" s="12"/>
      <c r="F6" s="12"/>
      <c r="G6" s="12"/>
      <c r="H6" s="13">
        <f t="shared" si="0"/>
        <v>0</v>
      </c>
    </row>
    <row r="7" spans="1:8">
      <c r="A7" s="7"/>
      <c r="B7" s="7"/>
      <c r="C7" s="4"/>
      <c r="D7" s="8"/>
      <c r="E7" s="12"/>
      <c r="F7" s="12"/>
      <c r="G7" s="12"/>
      <c r="H7" s="13">
        <f t="shared" si="0"/>
        <v>0</v>
      </c>
    </row>
    <row r="8" spans="1:8">
      <c r="A8" s="7"/>
      <c r="B8" s="7"/>
      <c r="C8" s="4"/>
      <c r="D8" s="8"/>
      <c r="E8" s="12"/>
      <c r="F8" s="12"/>
      <c r="G8" s="12"/>
      <c r="H8" s="13">
        <f t="shared" si="0"/>
        <v>0</v>
      </c>
    </row>
    <row r="9" spans="1:8">
      <c r="A9" s="7"/>
      <c r="B9" s="7"/>
      <c r="C9" s="4"/>
      <c r="D9" s="8"/>
      <c r="E9" s="12"/>
      <c r="F9" s="12"/>
      <c r="G9" s="12"/>
      <c r="H9" s="13">
        <f t="shared" si="0"/>
        <v>0</v>
      </c>
    </row>
    <row r="10" spans="1:8">
      <c r="A10" s="7"/>
      <c r="B10" s="7"/>
      <c r="C10" s="4"/>
      <c r="D10" s="8"/>
      <c r="E10" s="12"/>
      <c r="F10" s="12"/>
      <c r="G10" s="12"/>
      <c r="H10" s="13">
        <f t="shared" si="0"/>
        <v>0</v>
      </c>
    </row>
    <row r="11" spans="1:8">
      <c r="A11" s="7"/>
      <c r="B11" s="7"/>
      <c r="C11" s="4"/>
      <c r="D11" s="8"/>
      <c r="E11" s="12"/>
      <c r="F11" s="12"/>
      <c r="G11" s="12"/>
      <c r="H11" s="13">
        <f t="shared" si="0"/>
        <v>0</v>
      </c>
    </row>
    <row r="12" spans="1:8">
      <c r="A12" s="7"/>
      <c r="B12" s="7"/>
      <c r="C12" s="4"/>
      <c r="D12" s="8"/>
      <c r="E12" s="12"/>
      <c r="F12" s="12"/>
      <c r="G12" s="12"/>
      <c r="H12" s="13">
        <f t="shared" si="0"/>
        <v>0</v>
      </c>
    </row>
    <row r="13" spans="1:8">
      <c r="A13" s="7"/>
      <c r="B13" s="7"/>
      <c r="C13" s="4"/>
      <c r="D13" s="8"/>
      <c r="E13" s="12"/>
      <c r="F13" s="12"/>
      <c r="G13" s="12"/>
      <c r="H13" s="13">
        <f t="shared" si="0"/>
        <v>0</v>
      </c>
    </row>
    <row r="14" spans="1:8">
      <c r="A14" s="7"/>
      <c r="B14" s="7"/>
      <c r="C14" s="4"/>
      <c r="D14" s="8"/>
      <c r="E14" s="12"/>
      <c r="F14" s="12"/>
      <c r="G14" s="12"/>
      <c r="H14" s="13">
        <f t="shared" si="0"/>
        <v>0</v>
      </c>
    </row>
    <row r="15" spans="1:8">
      <c r="A15" s="7"/>
      <c r="B15" s="7"/>
      <c r="C15" s="4"/>
      <c r="D15" s="8"/>
      <c r="E15" s="12"/>
      <c r="F15" s="12"/>
      <c r="G15" s="12"/>
      <c r="H15" s="13">
        <f t="shared" si="0"/>
        <v>0</v>
      </c>
    </row>
    <row r="16" spans="1:8">
      <c r="A16" s="7"/>
      <c r="B16" s="7"/>
      <c r="C16" s="4"/>
      <c r="D16" s="8"/>
      <c r="E16" s="12"/>
      <c r="F16" s="12"/>
      <c r="G16" s="12"/>
      <c r="H16" s="13">
        <f t="shared" si="0"/>
        <v>0</v>
      </c>
    </row>
    <row r="17" spans="1:8">
      <c r="A17" s="7"/>
      <c r="B17" s="7"/>
      <c r="C17" s="4"/>
      <c r="D17" s="8"/>
      <c r="E17" s="12"/>
      <c r="F17" s="12"/>
      <c r="G17" s="12"/>
      <c r="H17" s="13">
        <f t="shared" si="0"/>
        <v>0</v>
      </c>
    </row>
    <row r="18" spans="1:8">
      <c r="A18" s="7"/>
      <c r="B18" s="7"/>
      <c r="C18" s="4"/>
      <c r="D18" s="8"/>
      <c r="E18" s="12"/>
      <c r="F18" s="12"/>
      <c r="G18" s="12"/>
      <c r="H18" s="13">
        <f t="shared" si="0"/>
        <v>0</v>
      </c>
    </row>
    <row r="19" spans="1:8">
      <c r="A19" s="7"/>
      <c r="B19" s="7"/>
      <c r="C19" s="4"/>
      <c r="D19" s="8"/>
      <c r="E19" s="12"/>
      <c r="F19" s="12"/>
      <c r="G19" s="12"/>
      <c r="H19" s="13">
        <f t="shared" si="0"/>
        <v>0</v>
      </c>
    </row>
    <row r="20" spans="1:8">
      <c r="A20" s="7"/>
      <c r="B20" s="7"/>
      <c r="C20" s="4"/>
      <c r="D20" s="8"/>
      <c r="E20" s="12"/>
      <c r="F20" s="12"/>
      <c r="G20" s="12"/>
      <c r="H20" s="13">
        <f t="shared" si="0"/>
        <v>0</v>
      </c>
    </row>
    <row r="21" spans="1:8">
      <c r="A21" s="7"/>
      <c r="B21" s="7"/>
      <c r="C21" s="4"/>
      <c r="D21" s="8"/>
      <c r="E21" s="12"/>
      <c r="F21" s="12"/>
      <c r="G21" s="12"/>
      <c r="H21" s="13">
        <f t="shared" si="0"/>
        <v>0</v>
      </c>
    </row>
    <row r="22" spans="1:8">
      <c r="A22" s="7"/>
      <c r="B22" s="7"/>
      <c r="C22" s="4"/>
      <c r="D22" s="8"/>
      <c r="E22" s="12"/>
      <c r="F22" s="12"/>
      <c r="G22" s="12"/>
      <c r="H22" s="13">
        <f t="shared" si="0"/>
        <v>0</v>
      </c>
    </row>
    <row r="23" spans="1:8">
      <c r="A23" s="7"/>
      <c r="B23" s="7"/>
      <c r="C23" s="4"/>
      <c r="D23" s="8"/>
      <c r="E23" s="12"/>
      <c r="F23" s="12"/>
      <c r="G23" s="12"/>
      <c r="H23" s="13">
        <f t="shared" si="0"/>
        <v>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كود غير صحيح" error="الكود غير موجود في شيت المخزن - أضفه هناك أولاً" xr:uid="{00000000-0002-0000-0E00-000000000000}">
          <x14:formula1>
            <xm:f>المخزن!$A$3:$A$43</xm:f>
          </x14:formula1>
          <x14:formula2>
            <xm:f>0</xm:f>
          </x14:formula2>
          <xm:sqref>C3:C23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42"/>
  <sheetViews>
    <sheetView rightToLeft="1" zoomScaleNormal="100" workbookViewId="0">
      <pane ySplit="2" topLeftCell="A3" activePane="bottomLeft" state="frozen"/>
      <selection pane="bottomLeft" sqref="A1:H1"/>
    </sheetView>
  </sheetViews>
  <sheetFormatPr defaultColWidth="8.6640625" defaultRowHeight="14.4"/>
  <cols>
    <col min="1" max="1" width="12" customWidth="1"/>
    <col min="2" max="2" width="30" customWidth="1"/>
    <col min="3" max="3" width="10" customWidth="1"/>
    <col min="4" max="4" width="8" customWidth="1"/>
    <col min="5" max="5" width="10" customWidth="1"/>
    <col min="6" max="8" width="12" customWidth="1"/>
  </cols>
  <sheetData>
    <row r="1" spans="1:8" ht="17.399999999999999" customHeight="1">
      <c r="A1" s="2" t="s">
        <v>270</v>
      </c>
      <c r="B1" s="2"/>
      <c r="C1" s="2"/>
      <c r="D1" s="2"/>
      <c r="E1" s="2"/>
      <c r="F1" s="2"/>
      <c r="G1" s="2"/>
      <c r="H1" s="2"/>
    </row>
    <row r="2" spans="1:8">
      <c r="A2" s="3" t="s">
        <v>125</v>
      </c>
      <c r="B2" s="3" t="s">
        <v>126</v>
      </c>
      <c r="C2" s="3" t="s">
        <v>1</v>
      </c>
      <c r="D2" s="3" t="s">
        <v>127</v>
      </c>
      <c r="E2" s="3" t="s">
        <v>128</v>
      </c>
      <c r="F2" s="3" t="s">
        <v>129</v>
      </c>
      <c r="G2" s="3" t="s">
        <v>130</v>
      </c>
      <c r="H2" s="3" t="s">
        <v>131</v>
      </c>
    </row>
    <row r="3" spans="1:8">
      <c r="A3" s="7" t="s">
        <v>271</v>
      </c>
      <c r="B3" s="7" t="s">
        <v>46</v>
      </c>
      <c r="C3" s="4" t="s">
        <v>45</v>
      </c>
      <c r="D3" s="8">
        <v>8</v>
      </c>
      <c r="E3" s="12">
        <v>175</v>
      </c>
      <c r="F3" s="12">
        <v>1400</v>
      </c>
      <c r="G3" s="12"/>
      <c r="H3" s="13">
        <f>IF(AND($B3="",$C3="",$F3="",$G3=""),0,0+IF($F3="",0,$F3)-IF($G3="",0,$G3))</f>
        <v>1400</v>
      </c>
    </row>
    <row r="4" spans="1:8">
      <c r="A4" s="7" t="s">
        <v>272</v>
      </c>
      <c r="B4" s="7" t="s">
        <v>139</v>
      </c>
      <c r="C4" s="4" t="s">
        <v>37</v>
      </c>
      <c r="D4" s="8">
        <v>8</v>
      </c>
      <c r="E4" s="12">
        <v>340</v>
      </c>
      <c r="F4" s="12">
        <v>2720</v>
      </c>
      <c r="G4" s="12"/>
      <c r="H4" s="13">
        <f t="shared" ref="H4:H42" si="0">IF(AND($B4="",$C4="",$F4="",$G4=""),$H3,$H3+IF($F4="",0,$F4)-IF($G4="",0,$G4))</f>
        <v>4120</v>
      </c>
    </row>
    <row r="5" spans="1:8">
      <c r="A5" s="7" t="s">
        <v>272</v>
      </c>
      <c r="B5" s="7" t="s">
        <v>140</v>
      </c>
      <c r="C5" s="4" t="s">
        <v>41</v>
      </c>
      <c r="D5" s="8">
        <v>8</v>
      </c>
      <c r="E5" s="12">
        <v>320</v>
      </c>
      <c r="F5" s="12">
        <v>2560</v>
      </c>
      <c r="G5" s="12"/>
      <c r="H5" s="13">
        <f t="shared" si="0"/>
        <v>6680</v>
      </c>
    </row>
    <row r="6" spans="1:8">
      <c r="A6" s="7" t="s">
        <v>272</v>
      </c>
      <c r="B6" s="7" t="s">
        <v>171</v>
      </c>
      <c r="C6" s="4" t="s">
        <v>43</v>
      </c>
      <c r="D6" s="8">
        <v>16</v>
      </c>
      <c r="E6" s="12">
        <v>420</v>
      </c>
      <c r="F6" s="12">
        <v>6720</v>
      </c>
      <c r="G6" s="12"/>
      <c r="H6" s="13">
        <f t="shared" si="0"/>
        <v>13400</v>
      </c>
    </row>
    <row r="7" spans="1:8">
      <c r="A7" s="7" t="s">
        <v>142</v>
      </c>
      <c r="B7" s="7" t="s">
        <v>273</v>
      </c>
      <c r="C7" s="4"/>
      <c r="D7" s="8"/>
      <c r="E7" s="12"/>
      <c r="F7" s="12"/>
      <c r="G7" s="12">
        <v>3000</v>
      </c>
      <c r="H7" s="13">
        <f t="shared" si="0"/>
        <v>10400</v>
      </c>
    </row>
    <row r="8" spans="1:8">
      <c r="A8" s="7" t="s">
        <v>274</v>
      </c>
      <c r="B8" s="7" t="s">
        <v>275</v>
      </c>
      <c r="C8" s="4"/>
      <c r="D8" s="8"/>
      <c r="E8" s="12"/>
      <c r="F8" s="12"/>
      <c r="G8" s="12">
        <v>3000</v>
      </c>
      <c r="H8" s="13">
        <f t="shared" si="0"/>
        <v>7400</v>
      </c>
    </row>
    <row r="9" spans="1:8">
      <c r="A9" s="7" t="s">
        <v>147</v>
      </c>
      <c r="B9" s="7"/>
      <c r="C9" s="4"/>
      <c r="D9" s="8"/>
      <c r="E9" s="12"/>
      <c r="F9" s="12"/>
      <c r="G9" s="12">
        <v>3000</v>
      </c>
      <c r="H9" s="13">
        <f t="shared" si="0"/>
        <v>4400</v>
      </c>
    </row>
    <row r="10" spans="1:8">
      <c r="A10" s="7" t="s">
        <v>147</v>
      </c>
      <c r="B10" s="7" t="s">
        <v>68</v>
      </c>
      <c r="C10" s="4" t="s">
        <v>67</v>
      </c>
      <c r="D10" s="8">
        <v>8</v>
      </c>
      <c r="E10" s="12">
        <v>850</v>
      </c>
      <c r="F10" s="12">
        <v>6800</v>
      </c>
      <c r="G10" s="12"/>
      <c r="H10" s="13">
        <f t="shared" si="0"/>
        <v>11200</v>
      </c>
    </row>
    <row r="11" spans="1:8">
      <c r="A11" s="7" t="s">
        <v>147</v>
      </c>
      <c r="B11" s="7" t="s">
        <v>139</v>
      </c>
      <c r="C11" s="4" t="s">
        <v>37</v>
      </c>
      <c r="D11" s="8">
        <v>16</v>
      </c>
      <c r="E11" s="12">
        <v>340</v>
      </c>
      <c r="F11" s="12">
        <v>5440</v>
      </c>
      <c r="G11" s="12"/>
      <c r="H11" s="13">
        <f t="shared" si="0"/>
        <v>16640</v>
      </c>
    </row>
    <row r="12" spans="1:8">
      <c r="A12" s="7" t="s">
        <v>147</v>
      </c>
      <c r="B12" s="7" t="s">
        <v>148</v>
      </c>
      <c r="C12" s="4" t="s">
        <v>65</v>
      </c>
      <c r="D12" s="8">
        <v>12</v>
      </c>
      <c r="E12" s="12">
        <v>360</v>
      </c>
      <c r="F12" s="12">
        <v>4320</v>
      </c>
      <c r="G12" s="12"/>
      <c r="H12" s="13">
        <f t="shared" si="0"/>
        <v>20960</v>
      </c>
    </row>
    <row r="13" spans="1:8">
      <c r="A13" s="7" t="s">
        <v>149</v>
      </c>
      <c r="B13" s="7" t="s">
        <v>171</v>
      </c>
      <c r="C13" s="4" t="s">
        <v>43</v>
      </c>
      <c r="D13" s="8">
        <v>24</v>
      </c>
      <c r="E13" s="12">
        <v>420</v>
      </c>
      <c r="F13" s="12">
        <v>10080</v>
      </c>
      <c r="G13" s="12"/>
      <c r="H13" s="13">
        <f t="shared" si="0"/>
        <v>31040</v>
      </c>
    </row>
    <row r="14" spans="1:8">
      <c r="A14" s="7" t="s">
        <v>149</v>
      </c>
      <c r="B14" s="7" t="s">
        <v>140</v>
      </c>
      <c r="C14" s="4" t="s">
        <v>41</v>
      </c>
      <c r="D14" s="8">
        <v>8</v>
      </c>
      <c r="E14" s="12">
        <v>320</v>
      </c>
      <c r="F14" s="12">
        <v>2560</v>
      </c>
      <c r="G14" s="12"/>
      <c r="H14" s="13">
        <f t="shared" si="0"/>
        <v>33600</v>
      </c>
    </row>
    <row r="15" spans="1:8">
      <c r="A15" s="7" t="s">
        <v>149</v>
      </c>
      <c r="B15" s="7"/>
      <c r="C15" s="4"/>
      <c r="D15" s="8"/>
      <c r="E15" s="12"/>
      <c r="F15" s="12"/>
      <c r="G15" s="12">
        <v>3500</v>
      </c>
      <c r="H15" s="13">
        <f t="shared" si="0"/>
        <v>30100</v>
      </c>
    </row>
    <row r="16" spans="1:8">
      <c r="A16" s="7" t="s">
        <v>157</v>
      </c>
      <c r="B16" s="7" t="s">
        <v>189</v>
      </c>
      <c r="C16" s="4"/>
      <c r="D16" s="8"/>
      <c r="E16" s="12"/>
      <c r="F16" s="12"/>
      <c r="G16" s="12">
        <v>5000</v>
      </c>
      <c r="H16" s="13">
        <f t="shared" si="0"/>
        <v>25100</v>
      </c>
    </row>
    <row r="17" spans="1:8">
      <c r="A17" s="7" t="s">
        <v>236</v>
      </c>
      <c r="B17" s="7" t="s">
        <v>276</v>
      </c>
      <c r="C17" s="4" t="s">
        <v>45</v>
      </c>
      <c r="D17" s="8">
        <v>8</v>
      </c>
      <c r="E17" s="12">
        <v>175</v>
      </c>
      <c r="F17" s="12">
        <v>1400</v>
      </c>
      <c r="G17" s="12"/>
      <c r="H17" s="13">
        <f t="shared" si="0"/>
        <v>26500</v>
      </c>
    </row>
    <row r="18" spans="1:8">
      <c r="A18" s="7" t="s">
        <v>239</v>
      </c>
      <c r="B18" s="7" t="s">
        <v>136</v>
      </c>
      <c r="C18" s="4"/>
      <c r="D18" s="8"/>
      <c r="E18" s="12"/>
      <c r="F18" s="12"/>
      <c r="G18" s="12">
        <v>5000</v>
      </c>
      <c r="H18" s="13">
        <f t="shared" si="0"/>
        <v>21500</v>
      </c>
    </row>
    <row r="19" spans="1:8">
      <c r="A19" s="7" t="s">
        <v>182</v>
      </c>
      <c r="B19" s="7" t="s">
        <v>136</v>
      </c>
      <c r="C19" s="4"/>
      <c r="D19" s="8"/>
      <c r="E19" s="12"/>
      <c r="F19" s="12"/>
      <c r="G19" s="12">
        <v>7000</v>
      </c>
      <c r="H19" s="13">
        <f t="shared" si="0"/>
        <v>14500</v>
      </c>
    </row>
    <row r="20" spans="1:8">
      <c r="A20" s="7" t="s">
        <v>277</v>
      </c>
      <c r="B20" s="7" t="s">
        <v>136</v>
      </c>
      <c r="C20" s="4"/>
      <c r="D20" s="8"/>
      <c r="E20" s="12"/>
      <c r="F20" s="12"/>
      <c r="G20" s="12">
        <v>3000</v>
      </c>
      <c r="H20" s="13">
        <f t="shared" si="0"/>
        <v>11500</v>
      </c>
    </row>
    <row r="21" spans="1:8">
      <c r="A21" s="11">
        <v>46088</v>
      </c>
      <c r="B21" s="7"/>
      <c r="C21" s="4"/>
      <c r="D21" s="8"/>
      <c r="E21" s="12"/>
      <c r="F21" s="12"/>
      <c r="G21" s="12">
        <v>2000</v>
      </c>
      <c r="H21" s="13">
        <f t="shared" si="0"/>
        <v>9500</v>
      </c>
    </row>
    <row r="22" spans="1:8">
      <c r="A22" s="11">
        <v>46242</v>
      </c>
      <c r="B22" s="7"/>
      <c r="C22" s="4"/>
      <c r="D22" s="8"/>
      <c r="E22" s="12"/>
      <c r="F22" s="12"/>
      <c r="G22" s="12">
        <v>1500</v>
      </c>
      <c r="H22" s="13">
        <f t="shared" si="0"/>
        <v>8000</v>
      </c>
    </row>
    <row r="23" spans="1:8">
      <c r="A23" s="7"/>
      <c r="B23" s="7"/>
      <c r="C23" s="4"/>
      <c r="D23" s="8"/>
      <c r="E23" s="12"/>
      <c r="F23" s="12"/>
      <c r="G23" s="12"/>
      <c r="H23" s="13">
        <f t="shared" si="0"/>
        <v>8000</v>
      </c>
    </row>
    <row r="24" spans="1:8">
      <c r="A24" s="7"/>
      <c r="B24" s="7"/>
      <c r="C24" s="4"/>
      <c r="D24" s="8"/>
      <c r="E24" s="12"/>
      <c r="F24" s="12"/>
      <c r="G24" s="12"/>
      <c r="H24" s="13">
        <f t="shared" si="0"/>
        <v>8000</v>
      </c>
    </row>
    <row r="25" spans="1:8">
      <c r="A25" s="7"/>
      <c r="B25" s="7"/>
      <c r="C25" s="4"/>
      <c r="D25" s="8"/>
      <c r="E25" s="12"/>
      <c r="F25" s="12"/>
      <c r="G25" s="12"/>
      <c r="H25" s="13">
        <f t="shared" si="0"/>
        <v>8000</v>
      </c>
    </row>
    <row r="26" spans="1:8">
      <c r="A26" s="7"/>
      <c r="B26" s="7"/>
      <c r="C26" s="4"/>
      <c r="D26" s="8"/>
      <c r="E26" s="12"/>
      <c r="F26" s="12"/>
      <c r="G26" s="12"/>
      <c r="H26" s="13">
        <f t="shared" si="0"/>
        <v>8000</v>
      </c>
    </row>
    <row r="27" spans="1:8">
      <c r="A27" s="7"/>
      <c r="B27" s="7"/>
      <c r="C27" s="4"/>
      <c r="D27" s="8"/>
      <c r="E27" s="12"/>
      <c r="F27" s="12"/>
      <c r="G27" s="12"/>
      <c r="H27" s="13">
        <f t="shared" si="0"/>
        <v>8000</v>
      </c>
    </row>
    <row r="28" spans="1:8">
      <c r="A28" s="7"/>
      <c r="B28" s="7"/>
      <c r="C28" s="4"/>
      <c r="D28" s="8"/>
      <c r="E28" s="12"/>
      <c r="F28" s="12"/>
      <c r="G28" s="12"/>
      <c r="H28" s="13">
        <f t="shared" si="0"/>
        <v>8000</v>
      </c>
    </row>
    <row r="29" spans="1:8">
      <c r="A29" s="7"/>
      <c r="B29" s="7"/>
      <c r="C29" s="4"/>
      <c r="D29" s="8"/>
      <c r="E29" s="12"/>
      <c r="F29" s="12"/>
      <c r="G29" s="12"/>
      <c r="H29" s="13">
        <f t="shared" si="0"/>
        <v>8000</v>
      </c>
    </row>
    <row r="30" spans="1:8">
      <c r="A30" s="7"/>
      <c r="B30" s="7"/>
      <c r="C30" s="4"/>
      <c r="D30" s="8"/>
      <c r="E30" s="12"/>
      <c r="F30" s="12"/>
      <c r="G30" s="12"/>
      <c r="H30" s="13">
        <f t="shared" si="0"/>
        <v>8000</v>
      </c>
    </row>
    <row r="31" spans="1:8">
      <c r="A31" s="7"/>
      <c r="B31" s="7"/>
      <c r="C31" s="4"/>
      <c r="D31" s="8"/>
      <c r="E31" s="12"/>
      <c r="F31" s="12"/>
      <c r="G31" s="12"/>
      <c r="H31" s="13">
        <f t="shared" si="0"/>
        <v>8000</v>
      </c>
    </row>
    <row r="32" spans="1:8">
      <c r="A32" s="7"/>
      <c r="B32" s="7"/>
      <c r="C32" s="4"/>
      <c r="D32" s="8"/>
      <c r="E32" s="12"/>
      <c r="F32" s="12"/>
      <c r="G32" s="12"/>
      <c r="H32" s="13">
        <f t="shared" si="0"/>
        <v>8000</v>
      </c>
    </row>
    <row r="33" spans="1:8">
      <c r="A33" s="7"/>
      <c r="B33" s="7"/>
      <c r="C33" s="4"/>
      <c r="D33" s="8"/>
      <c r="E33" s="12"/>
      <c r="F33" s="12"/>
      <c r="G33" s="12"/>
      <c r="H33" s="13">
        <f t="shared" si="0"/>
        <v>8000</v>
      </c>
    </row>
    <row r="34" spans="1:8">
      <c r="A34" s="7"/>
      <c r="B34" s="7"/>
      <c r="C34" s="4"/>
      <c r="D34" s="8"/>
      <c r="E34" s="12"/>
      <c r="F34" s="12"/>
      <c r="G34" s="12"/>
      <c r="H34" s="13">
        <f t="shared" si="0"/>
        <v>8000</v>
      </c>
    </row>
    <row r="35" spans="1:8">
      <c r="A35" s="7"/>
      <c r="B35" s="7"/>
      <c r="C35" s="4"/>
      <c r="D35" s="8"/>
      <c r="E35" s="12"/>
      <c r="F35" s="12"/>
      <c r="G35" s="12"/>
      <c r="H35" s="13">
        <f t="shared" si="0"/>
        <v>8000</v>
      </c>
    </row>
    <row r="36" spans="1:8">
      <c r="A36" s="7"/>
      <c r="B36" s="7"/>
      <c r="C36" s="4"/>
      <c r="D36" s="8"/>
      <c r="E36" s="12"/>
      <c r="F36" s="12"/>
      <c r="G36" s="12"/>
      <c r="H36" s="13">
        <f t="shared" si="0"/>
        <v>8000</v>
      </c>
    </row>
    <row r="37" spans="1:8">
      <c r="A37" s="7"/>
      <c r="B37" s="7"/>
      <c r="C37" s="4"/>
      <c r="D37" s="8"/>
      <c r="E37" s="12"/>
      <c r="F37" s="12"/>
      <c r="G37" s="12"/>
      <c r="H37" s="13">
        <f t="shared" si="0"/>
        <v>8000</v>
      </c>
    </row>
    <row r="38" spans="1:8">
      <c r="A38" s="7"/>
      <c r="B38" s="7"/>
      <c r="C38" s="4"/>
      <c r="D38" s="8"/>
      <c r="E38" s="12"/>
      <c r="F38" s="12"/>
      <c r="G38" s="12"/>
      <c r="H38" s="13">
        <f t="shared" si="0"/>
        <v>8000</v>
      </c>
    </row>
    <row r="39" spans="1:8">
      <c r="A39" s="7"/>
      <c r="B39" s="7"/>
      <c r="C39" s="4"/>
      <c r="D39" s="8"/>
      <c r="E39" s="12"/>
      <c r="F39" s="12"/>
      <c r="G39" s="12"/>
      <c r="H39" s="13">
        <f t="shared" si="0"/>
        <v>8000</v>
      </c>
    </row>
    <row r="40" spans="1:8">
      <c r="A40" s="7"/>
      <c r="B40" s="7"/>
      <c r="C40" s="4"/>
      <c r="D40" s="8"/>
      <c r="E40" s="12"/>
      <c r="F40" s="12"/>
      <c r="G40" s="12"/>
      <c r="H40" s="13">
        <f t="shared" si="0"/>
        <v>8000</v>
      </c>
    </row>
    <row r="41" spans="1:8">
      <c r="A41" s="7"/>
      <c r="B41" s="7"/>
      <c r="C41" s="4"/>
      <c r="D41" s="8"/>
      <c r="E41" s="12"/>
      <c r="F41" s="12"/>
      <c r="G41" s="12"/>
      <c r="H41" s="13">
        <f t="shared" si="0"/>
        <v>8000</v>
      </c>
    </row>
    <row r="42" spans="1:8">
      <c r="A42" s="7"/>
      <c r="B42" s="7"/>
      <c r="C42" s="4"/>
      <c r="D42" s="8"/>
      <c r="E42" s="12"/>
      <c r="F42" s="12"/>
      <c r="G42" s="12"/>
      <c r="H42" s="13">
        <f t="shared" si="0"/>
        <v>8000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كود غير صحيح" error="الكود غير موجود في شيت المخزن - أضفه هناك أولاً" xr:uid="{00000000-0002-0000-0F00-000000000000}">
          <x14:formula1>
            <xm:f>المخزن!$A$3:$A$43</xm:f>
          </x14:formula1>
          <x14:formula2>
            <xm:f>0</xm:f>
          </x14:formula2>
          <xm:sqref>C3:C42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9"/>
  <sheetViews>
    <sheetView rightToLeft="1" zoomScaleNormal="100" workbookViewId="0">
      <pane ySplit="2" topLeftCell="A3" activePane="bottomLeft" state="frozen"/>
      <selection pane="bottomLeft" sqref="A1:H1"/>
    </sheetView>
  </sheetViews>
  <sheetFormatPr defaultColWidth="8.6640625" defaultRowHeight="14.4"/>
  <cols>
    <col min="1" max="1" width="12" customWidth="1"/>
    <col min="2" max="2" width="30" customWidth="1"/>
    <col min="3" max="3" width="10" customWidth="1"/>
    <col min="4" max="4" width="8" customWidth="1"/>
    <col min="5" max="5" width="10" customWidth="1"/>
    <col min="6" max="8" width="12" customWidth="1"/>
  </cols>
  <sheetData>
    <row r="1" spans="1:8" ht="17.399999999999999" customHeight="1">
      <c r="A1" s="2" t="s">
        <v>278</v>
      </c>
      <c r="B1" s="2"/>
      <c r="C1" s="2"/>
      <c r="D1" s="2"/>
      <c r="E1" s="2"/>
      <c r="F1" s="2"/>
      <c r="G1" s="2"/>
      <c r="H1" s="2"/>
    </row>
    <row r="2" spans="1:8">
      <c r="A2" s="3" t="s">
        <v>125</v>
      </c>
      <c r="B2" s="3" t="s">
        <v>126</v>
      </c>
      <c r="C2" s="3" t="s">
        <v>1</v>
      </c>
      <c r="D2" s="3" t="s">
        <v>127</v>
      </c>
      <c r="E2" s="3" t="s">
        <v>128</v>
      </c>
      <c r="F2" s="3" t="s">
        <v>129</v>
      </c>
      <c r="G2" s="3" t="s">
        <v>130</v>
      </c>
      <c r="H2" s="3" t="s">
        <v>131</v>
      </c>
    </row>
    <row r="3" spans="1:8">
      <c r="A3" s="11">
        <v>46273</v>
      </c>
      <c r="B3" s="7" t="s">
        <v>279</v>
      </c>
      <c r="C3" s="4" t="s">
        <v>85</v>
      </c>
      <c r="D3" s="8">
        <v>12</v>
      </c>
      <c r="E3" s="12">
        <v>340</v>
      </c>
      <c r="F3" s="12">
        <v>4080</v>
      </c>
      <c r="G3" s="12"/>
      <c r="H3" s="13">
        <f>IF(AND($B3="",$C3="",$F3="",$G3=""),0,0+IF($F3="",0,$F3)-IF($G3="",0,$G3))</f>
        <v>4080</v>
      </c>
    </row>
    <row r="4" spans="1:8">
      <c r="A4" s="11">
        <v>46273</v>
      </c>
      <c r="B4" s="7" t="s">
        <v>263</v>
      </c>
      <c r="C4" s="4"/>
      <c r="D4" s="8"/>
      <c r="E4" s="12"/>
      <c r="F4" s="12"/>
      <c r="G4" s="12">
        <v>2000</v>
      </c>
      <c r="H4" s="13">
        <f t="shared" ref="H4:H29" si="0">IF(AND($B4="",$C4="",$F4="",$G4=""),$H3,$H3+IF($F4="",0,$F4)-IF($G4="",0,$G4))</f>
        <v>2080</v>
      </c>
    </row>
    <row r="5" spans="1:8">
      <c r="A5" s="11">
        <v>46334</v>
      </c>
      <c r="B5" s="7"/>
      <c r="C5" s="4" t="s">
        <v>93</v>
      </c>
      <c r="D5" s="8">
        <v>8</v>
      </c>
      <c r="E5" s="12">
        <v>360</v>
      </c>
      <c r="F5" s="12">
        <v>2880</v>
      </c>
      <c r="G5" s="12"/>
      <c r="H5" s="13">
        <f t="shared" si="0"/>
        <v>4960</v>
      </c>
    </row>
    <row r="6" spans="1:8">
      <c r="A6" s="11">
        <v>46334</v>
      </c>
      <c r="B6" s="7"/>
      <c r="C6" s="4" t="s">
        <v>85</v>
      </c>
      <c r="D6" s="8">
        <v>12</v>
      </c>
      <c r="E6" s="12">
        <v>340</v>
      </c>
      <c r="F6" s="12"/>
      <c r="G6" s="12">
        <v>4080</v>
      </c>
      <c r="H6" s="13">
        <f t="shared" si="0"/>
        <v>880</v>
      </c>
    </row>
    <row r="7" spans="1:8">
      <c r="A7" s="11">
        <v>46334</v>
      </c>
      <c r="B7" s="7" t="s">
        <v>280</v>
      </c>
      <c r="C7" s="4"/>
      <c r="D7" s="8"/>
      <c r="E7" s="12"/>
      <c r="F7" s="12"/>
      <c r="G7" s="12">
        <v>880</v>
      </c>
      <c r="H7" s="13">
        <f t="shared" si="0"/>
        <v>0</v>
      </c>
    </row>
    <row r="8" spans="1:8">
      <c r="A8" s="7" t="s">
        <v>246</v>
      </c>
      <c r="B8" s="7" t="s">
        <v>162</v>
      </c>
      <c r="C8" s="4" t="s">
        <v>51</v>
      </c>
      <c r="D8" s="8">
        <v>12</v>
      </c>
      <c r="E8" s="12">
        <v>270</v>
      </c>
      <c r="F8" s="12">
        <v>3240</v>
      </c>
      <c r="G8" s="12"/>
      <c r="H8" s="13">
        <f t="shared" si="0"/>
        <v>3240</v>
      </c>
    </row>
    <row r="9" spans="1:8">
      <c r="A9" s="7" t="s">
        <v>246</v>
      </c>
      <c r="B9" s="7" t="s">
        <v>281</v>
      </c>
      <c r="C9" s="4"/>
      <c r="D9" s="8">
        <v>4</v>
      </c>
      <c r="E9" s="12">
        <v>340</v>
      </c>
      <c r="F9" s="12">
        <v>1360</v>
      </c>
      <c r="G9" s="12"/>
      <c r="H9" s="13">
        <f t="shared" si="0"/>
        <v>4600</v>
      </c>
    </row>
    <row r="10" spans="1:8">
      <c r="A10" s="7"/>
      <c r="B10" s="7"/>
      <c r="C10" s="4"/>
      <c r="D10" s="8"/>
      <c r="E10" s="12"/>
      <c r="F10" s="12"/>
      <c r="G10" s="12"/>
      <c r="H10" s="13">
        <f t="shared" si="0"/>
        <v>4600</v>
      </c>
    </row>
    <row r="11" spans="1:8">
      <c r="A11" s="7"/>
      <c r="B11" s="7"/>
      <c r="C11" s="4"/>
      <c r="D11" s="8"/>
      <c r="E11" s="12"/>
      <c r="F11" s="12"/>
      <c r="G11" s="12"/>
      <c r="H11" s="13">
        <f t="shared" si="0"/>
        <v>4600</v>
      </c>
    </row>
    <row r="12" spans="1:8">
      <c r="A12" s="7"/>
      <c r="B12" s="7"/>
      <c r="C12" s="4"/>
      <c r="D12" s="8"/>
      <c r="E12" s="12"/>
      <c r="F12" s="12"/>
      <c r="G12" s="12"/>
      <c r="H12" s="13">
        <f t="shared" si="0"/>
        <v>4600</v>
      </c>
    </row>
    <row r="13" spans="1:8">
      <c r="A13" s="7"/>
      <c r="B13" s="7"/>
      <c r="C13" s="4"/>
      <c r="D13" s="8"/>
      <c r="E13" s="12"/>
      <c r="F13" s="12"/>
      <c r="G13" s="12"/>
      <c r="H13" s="13">
        <f t="shared" si="0"/>
        <v>4600</v>
      </c>
    </row>
    <row r="14" spans="1:8">
      <c r="A14" s="7"/>
      <c r="B14" s="7"/>
      <c r="C14" s="4"/>
      <c r="D14" s="8"/>
      <c r="E14" s="12"/>
      <c r="F14" s="12"/>
      <c r="G14" s="12"/>
      <c r="H14" s="13">
        <f t="shared" si="0"/>
        <v>4600</v>
      </c>
    </row>
    <row r="15" spans="1:8">
      <c r="A15" s="7"/>
      <c r="B15" s="7"/>
      <c r="C15" s="4"/>
      <c r="D15" s="8"/>
      <c r="E15" s="12"/>
      <c r="F15" s="12"/>
      <c r="G15" s="12"/>
      <c r="H15" s="13">
        <f t="shared" si="0"/>
        <v>4600</v>
      </c>
    </row>
    <row r="16" spans="1:8">
      <c r="A16" s="7"/>
      <c r="B16" s="7"/>
      <c r="C16" s="4"/>
      <c r="D16" s="8"/>
      <c r="E16" s="12"/>
      <c r="F16" s="12"/>
      <c r="G16" s="12"/>
      <c r="H16" s="13">
        <f t="shared" si="0"/>
        <v>4600</v>
      </c>
    </row>
    <row r="17" spans="1:8">
      <c r="A17" s="7"/>
      <c r="B17" s="7"/>
      <c r="C17" s="4"/>
      <c r="D17" s="8"/>
      <c r="E17" s="12"/>
      <c r="F17" s="12"/>
      <c r="G17" s="12"/>
      <c r="H17" s="13">
        <f t="shared" si="0"/>
        <v>4600</v>
      </c>
    </row>
    <row r="18" spans="1:8">
      <c r="A18" s="7"/>
      <c r="B18" s="7"/>
      <c r="C18" s="4"/>
      <c r="D18" s="8"/>
      <c r="E18" s="12"/>
      <c r="F18" s="12"/>
      <c r="G18" s="12"/>
      <c r="H18" s="13">
        <f t="shared" si="0"/>
        <v>4600</v>
      </c>
    </row>
    <row r="19" spans="1:8">
      <c r="A19" s="7"/>
      <c r="B19" s="7"/>
      <c r="C19" s="4"/>
      <c r="D19" s="8"/>
      <c r="E19" s="12"/>
      <c r="F19" s="12"/>
      <c r="G19" s="12"/>
      <c r="H19" s="13">
        <f t="shared" si="0"/>
        <v>4600</v>
      </c>
    </row>
    <row r="20" spans="1:8">
      <c r="A20" s="7"/>
      <c r="B20" s="7"/>
      <c r="C20" s="4"/>
      <c r="D20" s="8"/>
      <c r="E20" s="12"/>
      <c r="F20" s="12"/>
      <c r="G20" s="12"/>
      <c r="H20" s="13">
        <f t="shared" si="0"/>
        <v>4600</v>
      </c>
    </row>
    <row r="21" spans="1:8">
      <c r="A21" s="7"/>
      <c r="B21" s="7"/>
      <c r="C21" s="4"/>
      <c r="D21" s="8"/>
      <c r="E21" s="12"/>
      <c r="F21" s="12"/>
      <c r="G21" s="12"/>
      <c r="H21" s="13">
        <f t="shared" si="0"/>
        <v>4600</v>
      </c>
    </row>
    <row r="22" spans="1:8">
      <c r="A22" s="7"/>
      <c r="B22" s="7"/>
      <c r="C22" s="4"/>
      <c r="D22" s="8"/>
      <c r="E22" s="12"/>
      <c r="F22" s="12"/>
      <c r="G22" s="12"/>
      <c r="H22" s="13">
        <f t="shared" si="0"/>
        <v>4600</v>
      </c>
    </row>
    <row r="23" spans="1:8">
      <c r="A23" s="7"/>
      <c r="B23" s="7"/>
      <c r="C23" s="4"/>
      <c r="D23" s="8"/>
      <c r="E23" s="12"/>
      <c r="F23" s="12"/>
      <c r="G23" s="12"/>
      <c r="H23" s="13">
        <f t="shared" si="0"/>
        <v>4600</v>
      </c>
    </row>
    <row r="24" spans="1:8">
      <c r="A24" s="7"/>
      <c r="B24" s="7"/>
      <c r="C24" s="4"/>
      <c r="D24" s="8"/>
      <c r="E24" s="12"/>
      <c r="F24" s="12"/>
      <c r="G24" s="12"/>
      <c r="H24" s="13">
        <f t="shared" si="0"/>
        <v>4600</v>
      </c>
    </row>
    <row r="25" spans="1:8">
      <c r="A25" s="7"/>
      <c r="B25" s="7"/>
      <c r="C25" s="4"/>
      <c r="D25" s="8"/>
      <c r="E25" s="12"/>
      <c r="F25" s="12"/>
      <c r="G25" s="12"/>
      <c r="H25" s="13">
        <f t="shared" si="0"/>
        <v>4600</v>
      </c>
    </row>
    <row r="26" spans="1:8">
      <c r="A26" s="7"/>
      <c r="B26" s="7"/>
      <c r="C26" s="4"/>
      <c r="D26" s="8"/>
      <c r="E26" s="12"/>
      <c r="F26" s="12"/>
      <c r="G26" s="12"/>
      <c r="H26" s="13">
        <f t="shared" si="0"/>
        <v>4600</v>
      </c>
    </row>
    <row r="27" spans="1:8">
      <c r="A27" s="7"/>
      <c r="B27" s="7"/>
      <c r="C27" s="4"/>
      <c r="D27" s="8"/>
      <c r="E27" s="12"/>
      <c r="F27" s="12"/>
      <c r="G27" s="12"/>
      <c r="H27" s="13">
        <f t="shared" si="0"/>
        <v>4600</v>
      </c>
    </row>
    <row r="28" spans="1:8">
      <c r="A28" s="7"/>
      <c r="B28" s="7"/>
      <c r="C28" s="4"/>
      <c r="D28" s="8"/>
      <c r="E28" s="12"/>
      <c r="F28" s="12"/>
      <c r="G28" s="12"/>
      <c r="H28" s="13">
        <f t="shared" si="0"/>
        <v>4600</v>
      </c>
    </row>
    <row r="29" spans="1:8">
      <c r="A29" s="7"/>
      <c r="B29" s="7"/>
      <c r="C29" s="4"/>
      <c r="D29" s="8"/>
      <c r="E29" s="12"/>
      <c r="F29" s="12"/>
      <c r="G29" s="12"/>
      <c r="H29" s="13">
        <f t="shared" si="0"/>
        <v>4600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كود غير صحيح" error="الكود غير موجود في شيت المخزن - أضفه هناك أولاً" xr:uid="{00000000-0002-0000-1000-000000000000}">
          <x14:formula1>
            <xm:f>المخزن!$A$3:$A$43</xm:f>
          </x14:formula1>
          <x14:formula2>
            <xm:f>0</xm:f>
          </x14:formula2>
          <xm:sqref>C3:C29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31"/>
  <sheetViews>
    <sheetView rightToLeft="1" zoomScaleNormal="100" workbookViewId="0">
      <pane ySplit="2" topLeftCell="A3" activePane="bottomLeft" state="frozen"/>
      <selection pane="bottomLeft" sqref="A1:H1"/>
    </sheetView>
  </sheetViews>
  <sheetFormatPr defaultColWidth="8.6640625" defaultRowHeight="14.4"/>
  <cols>
    <col min="1" max="1" width="12" customWidth="1"/>
    <col min="2" max="2" width="30" customWidth="1"/>
    <col min="3" max="3" width="10" customWidth="1"/>
    <col min="4" max="4" width="8" customWidth="1"/>
    <col min="5" max="5" width="10" customWidth="1"/>
    <col min="6" max="8" width="12" customWidth="1"/>
  </cols>
  <sheetData>
    <row r="1" spans="1:8" ht="17.399999999999999" customHeight="1">
      <c r="A1" s="2" t="s">
        <v>282</v>
      </c>
      <c r="B1" s="2"/>
      <c r="C1" s="2"/>
      <c r="D1" s="2"/>
      <c r="E1" s="2"/>
      <c r="F1" s="2"/>
      <c r="G1" s="2"/>
      <c r="H1" s="2"/>
    </row>
    <row r="2" spans="1:8">
      <c r="A2" s="3" t="s">
        <v>125</v>
      </c>
      <c r="B2" s="3" t="s">
        <v>126</v>
      </c>
      <c r="C2" s="3" t="s">
        <v>1</v>
      </c>
      <c r="D2" s="3" t="s">
        <v>127</v>
      </c>
      <c r="E2" s="3" t="s">
        <v>128</v>
      </c>
      <c r="F2" s="3" t="s">
        <v>129</v>
      </c>
      <c r="G2" s="3" t="s">
        <v>130</v>
      </c>
      <c r="H2" s="3" t="s">
        <v>131</v>
      </c>
    </row>
    <row r="3" spans="1:8">
      <c r="A3" s="7" t="s">
        <v>180</v>
      </c>
      <c r="B3" s="7" t="s">
        <v>250</v>
      </c>
      <c r="C3" s="4" t="s">
        <v>49</v>
      </c>
      <c r="D3" s="8">
        <v>8</v>
      </c>
      <c r="E3" s="12">
        <v>310</v>
      </c>
      <c r="F3" s="12">
        <v>2480</v>
      </c>
      <c r="G3" s="12"/>
      <c r="H3" s="13">
        <f>IF(AND($B3="",$C3="",$F3="",$G3=""),0,0+IF($F3="",0,$F3)-IF($G3="",0,$G3))</f>
        <v>2480</v>
      </c>
    </row>
    <row r="4" spans="1:8">
      <c r="A4" s="7" t="s">
        <v>180</v>
      </c>
      <c r="B4" s="7"/>
      <c r="C4" s="4"/>
      <c r="D4" s="8">
        <v>8</v>
      </c>
      <c r="E4" s="12">
        <v>310</v>
      </c>
      <c r="F4" s="12">
        <v>2480</v>
      </c>
      <c r="G4" s="12"/>
      <c r="H4" s="13">
        <f t="shared" ref="H4:H31" si="0">IF(AND($B4="",$C4="",$F4="",$G4=""),$H3,$H3+IF($F4="",0,$F4)-IF($G4="",0,$G4))</f>
        <v>4960</v>
      </c>
    </row>
    <row r="5" spans="1:8">
      <c r="A5" s="7" t="s">
        <v>180</v>
      </c>
      <c r="B5" s="7" t="s">
        <v>186</v>
      </c>
      <c r="C5" s="4" t="s">
        <v>67</v>
      </c>
      <c r="D5" s="8">
        <v>6</v>
      </c>
      <c r="E5" s="12">
        <v>820</v>
      </c>
      <c r="F5" s="12">
        <v>4920</v>
      </c>
      <c r="G5" s="12"/>
      <c r="H5" s="13">
        <f t="shared" si="0"/>
        <v>9880</v>
      </c>
    </row>
    <row r="6" spans="1:8">
      <c r="A6" s="7" t="s">
        <v>157</v>
      </c>
      <c r="B6" s="7" t="s">
        <v>136</v>
      </c>
      <c r="C6" s="4"/>
      <c r="D6" s="8"/>
      <c r="E6" s="12"/>
      <c r="F6" s="12"/>
      <c r="G6" s="12">
        <v>9800</v>
      </c>
      <c r="H6" s="13">
        <f t="shared" si="0"/>
        <v>80</v>
      </c>
    </row>
    <row r="7" spans="1:8">
      <c r="A7" s="7" t="s">
        <v>190</v>
      </c>
      <c r="B7" s="7" t="s">
        <v>141</v>
      </c>
      <c r="C7" s="4" t="s">
        <v>39</v>
      </c>
      <c r="D7" s="8">
        <v>8</v>
      </c>
      <c r="E7" s="12">
        <v>370</v>
      </c>
      <c r="F7" s="12">
        <v>2960</v>
      </c>
      <c r="G7" s="12"/>
      <c r="H7" s="13">
        <f t="shared" si="0"/>
        <v>3040</v>
      </c>
    </row>
    <row r="8" spans="1:8">
      <c r="A8" s="7" t="s">
        <v>190</v>
      </c>
      <c r="B8" s="7" t="s">
        <v>218</v>
      </c>
      <c r="C8" s="4" t="s">
        <v>73</v>
      </c>
      <c r="D8" s="8">
        <v>4</v>
      </c>
      <c r="E8" s="12">
        <v>290</v>
      </c>
      <c r="F8" s="12">
        <v>1160</v>
      </c>
      <c r="G8" s="12"/>
      <c r="H8" s="13">
        <f t="shared" si="0"/>
        <v>4200</v>
      </c>
    </row>
    <row r="9" spans="1:8">
      <c r="A9" s="7" t="s">
        <v>190</v>
      </c>
      <c r="B9" s="7" t="s">
        <v>283</v>
      </c>
      <c r="C9" s="4"/>
      <c r="D9" s="8">
        <v>8</v>
      </c>
      <c r="E9" s="12">
        <v>250</v>
      </c>
      <c r="F9" s="12">
        <v>2000</v>
      </c>
      <c r="G9" s="12"/>
      <c r="H9" s="13">
        <f t="shared" si="0"/>
        <v>6200</v>
      </c>
    </row>
    <row r="10" spans="1:8">
      <c r="A10" s="7" t="s">
        <v>190</v>
      </c>
      <c r="B10" s="7" t="s">
        <v>259</v>
      </c>
      <c r="C10" s="4" t="s">
        <v>43</v>
      </c>
      <c r="D10" s="8">
        <v>3</v>
      </c>
      <c r="E10" s="12">
        <v>400</v>
      </c>
      <c r="F10" s="12">
        <v>1200</v>
      </c>
      <c r="G10" s="12"/>
      <c r="H10" s="13">
        <f t="shared" si="0"/>
        <v>7400</v>
      </c>
    </row>
    <row r="11" spans="1:8">
      <c r="A11" s="7" t="s">
        <v>190</v>
      </c>
      <c r="B11" s="7"/>
      <c r="C11" s="4"/>
      <c r="D11" s="8"/>
      <c r="E11" s="12"/>
      <c r="F11" s="12"/>
      <c r="G11" s="12">
        <v>7200</v>
      </c>
      <c r="H11" s="13">
        <f t="shared" si="0"/>
        <v>200</v>
      </c>
    </row>
    <row r="12" spans="1:8">
      <c r="A12" s="7"/>
      <c r="B12" s="7"/>
      <c r="C12" s="4"/>
      <c r="D12" s="8"/>
      <c r="E12" s="12"/>
      <c r="F12" s="12"/>
      <c r="G12" s="12"/>
      <c r="H12" s="13">
        <f t="shared" si="0"/>
        <v>200</v>
      </c>
    </row>
    <row r="13" spans="1:8">
      <c r="A13" s="7"/>
      <c r="B13" s="7"/>
      <c r="C13" s="4"/>
      <c r="D13" s="8"/>
      <c r="E13" s="12"/>
      <c r="F13" s="12"/>
      <c r="G13" s="12"/>
      <c r="H13" s="13">
        <f t="shared" si="0"/>
        <v>200</v>
      </c>
    </row>
    <row r="14" spans="1:8">
      <c r="A14" s="7"/>
      <c r="B14" s="7"/>
      <c r="C14" s="4"/>
      <c r="D14" s="8"/>
      <c r="E14" s="12"/>
      <c r="F14" s="12"/>
      <c r="G14" s="12"/>
      <c r="H14" s="13">
        <f t="shared" si="0"/>
        <v>200</v>
      </c>
    </row>
    <row r="15" spans="1:8">
      <c r="A15" s="7"/>
      <c r="B15" s="7"/>
      <c r="C15" s="4"/>
      <c r="D15" s="8"/>
      <c r="E15" s="12"/>
      <c r="F15" s="12"/>
      <c r="G15" s="12"/>
      <c r="H15" s="13">
        <f t="shared" si="0"/>
        <v>200</v>
      </c>
    </row>
    <row r="16" spans="1:8">
      <c r="A16" s="7"/>
      <c r="B16" s="7"/>
      <c r="C16" s="4"/>
      <c r="D16" s="8"/>
      <c r="E16" s="12"/>
      <c r="F16" s="12"/>
      <c r="G16" s="12"/>
      <c r="H16" s="13">
        <f t="shared" si="0"/>
        <v>200</v>
      </c>
    </row>
    <row r="17" spans="1:8">
      <c r="A17" s="7"/>
      <c r="B17" s="7"/>
      <c r="C17" s="4"/>
      <c r="D17" s="8"/>
      <c r="E17" s="12"/>
      <c r="F17" s="12"/>
      <c r="G17" s="12"/>
      <c r="H17" s="13">
        <f t="shared" si="0"/>
        <v>200</v>
      </c>
    </row>
    <row r="18" spans="1:8">
      <c r="A18" s="7"/>
      <c r="B18" s="7"/>
      <c r="C18" s="4"/>
      <c r="D18" s="8"/>
      <c r="E18" s="12"/>
      <c r="F18" s="12"/>
      <c r="G18" s="12"/>
      <c r="H18" s="13">
        <f t="shared" si="0"/>
        <v>200</v>
      </c>
    </row>
    <row r="19" spans="1:8">
      <c r="A19" s="7"/>
      <c r="B19" s="7"/>
      <c r="C19" s="4"/>
      <c r="D19" s="8"/>
      <c r="E19" s="12"/>
      <c r="F19" s="12"/>
      <c r="G19" s="12"/>
      <c r="H19" s="13">
        <f t="shared" si="0"/>
        <v>200</v>
      </c>
    </row>
    <row r="20" spans="1:8">
      <c r="A20" s="7"/>
      <c r="B20" s="7"/>
      <c r="C20" s="4"/>
      <c r="D20" s="8"/>
      <c r="E20" s="12"/>
      <c r="F20" s="12"/>
      <c r="G20" s="12"/>
      <c r="H20" s="13">
        <f t="shared" si="0"/>
        <v>200</v>
      </c>
    </row>
    <row r="21" spans="1:8">
      <c r="A21" s="7"/>
      <c r="B21" s="7"/>
      <c r="C21" s="4"/>
      <c r="D21" s="8"/>
      <c r="E21" s="12"/>
      <c r="F21" s="12"/>
      <c r="G21" s="12"/>
      <c r="H21" s="13">
        <f t="shared" si="0"/>
        <v>200</v>
      </c>
    </row>
    <row r="22" spans="1:8">
      <c r="A22" s="7"/>
      <c r="B22" s="7"/>
      <c r="C22" s="4"/>
      <c r="D22" s="8"/>
      <c r="E22" s="12"/>
      <c r="F22" s="12"/>
      <c r="G22" s="12"/>
      <c r="H22" s="13">
        <f t="shared" si="0"/>
        <v>200</v>
      </c>
    </row>
    <row r="23" spans="1:8">
      <c r="A23" s="7"/>
      <c r="B23" s="7"/>
      <c r="C23" s="4"/>
      <c r="D23" s="8"/>
      <c r="E23" s="12"/>
      <c r="F23" s="12"/>
      <c r="G23" s="12"/>
      <c r="H23" s="13">
        <f t="shared" si="0"/>
        <v>200</v>
      </c>
    </row>
    <row r="24" spans="1:8">
      <c r="A24" s="7"/>
      <c r="B24" s="7"/>
      <c r="C24" s="4"/>
      <c r="D24" s="8"/>
      <c r="E24" s="12"/>
      <c r="F24" s="12"/>
      <c r="G24" s="12"/>
      <c r="H24" s="13">
        <f t="shared" si="0"/>
        <v>200</v>
      </c>
    </row>
    <row r="25" spans="1:8">
      <c r="A25" s="7"/>
      <c r="B25" s="7"/>
      <c r="C25" s="4"/>
      <c r="D25" s="8"/>
      <c r="E25" s="12"/>
      <c r="F25" s="12"/>
      <c r="G25" s="12"/>
      <c r="H25" s="13">
        <f t="shared" si="0"/>
        <v>200</v>
      </c>
    </row>
    <row r="26" spans="1:8">
      <c r="A26" s="7"/>
      <c r="B26" s="7"/>
      <c r="C26" s="4"/>
      <c r="D26" s="8"/>
      <c r="E26" s="12"/>
      <c r="F26" s="12"/>
      <c r="G26" s="12"/>
      <c r="H26" s="13">
        <f t="shared" si="0"/>
        <v>200</v>
      </c>
    </row>
    <row r="27" spans="1:8">
      <c r="A27" s="7"/>
      <c r="B27" s="7"/>
      <c r="C27" s="4"/>
      <c r="D27" s="8"/>
      <c r="E27" s="12"/>
      <c r="F27" s="12"/>
      <c r="G27" s="12"/>
      <c r="H27" s="13">
        <f t="shared" si="0"/>
        <v>200</v>
      </c>
    </row>
    <row r="28" spans="1:8">
      <c r="A28" s="7"/>
      <c r="B28" s="7"/>
      <c r="C28" s="4"/>
      <c r="D28" s="8"/>
      <c r="E28" s="12"/>
      <c r="F28" s="12"/>
      <c r="G28" s="12"/>
      <c r="H28" s="13">
        <f t="shared" si="0"/>
        <v>200</v>
      </c>
    </row>
    <row r="29" spans="1:8">
      <c r="A29" s="7"/>
      <c r="B29" s="7"/>
      <c r="C29" s="4"/>
      <c r="D29" s="8"/>
      <c r="E29" s="12"/>
      <c r="F29" s="12"/>
      <c r="G29" s="12"/>
      <c r="H29" s="13">
        <f t="shared" si="0"/>
        <v>200</v>
      </c>
    </row>
    <row r="30" spans="1:8">
      <c r="A30" s="7"/>
      <c r="B30" s="7"/>
      <c r="C30" s="4"/>
      <c r="D30" s="8"/>
      <c r="E30" s="12"/>
      <c r="F30" s="12"/>
      <c r="G30" s="12"/>
      <c r="H30" s="13">
        <f t="shared" si="0"/>
        <v>200</v>
      </c>
    </row>
    <row r="31" spans="1:8">
      <c r="A31" s="7"/>
      <c r="B31" s="7"/>
      <c r="C31" s="4"/>
      <c r="D31" s="8"/>
      <c r="E31" s="12"/>
      <c r="F31" s="12"/>
      <c r="G31" s="12"/>
      <c r="H31" s="13">
        <f t="shared" si="0"/>
        <v>200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كود غير صحيح" error="الكود غير موجود في شيت المخزن - أضفه هناك أولاً" xr:uid="{00000000-0002-0000-1100-000000000000}">
          <x14:formula1>
            <xm:f>المخزن!$A$3:$A$43</xm:f>
          </x14:formula1>
          <x14:formula2>
            <xm:f>0</xm:f>
          </x14:formula2>
          <xm:sqref>C3:C31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30"/>
  <sheetViews>
    <sheetView rightToLeft="1" zoomScaleNormal="100" workbookViewId="0">
      <pane ySplit="2" topLeftCell="A3" activePane="bottomLeft" state="frozen"/>
      <selection pane="bottomLeft"/>
    </sheetView>
  </sheetViews>
  <sheetFormatPr defaultColWidth="8.6640625" defaultRowHeight="14.4"/>
  <cols>
    <col min="1" max="1" width="12" customWidth="1"/>
    <col min="2" max="2" width="30" customWidth="1"/>
    <col min="3" max="3" width="10" customWidth="1"/>
    <col min="4" max="4" width="8" customWidth="1"/>
    <col min="5" max="5" width="10" customWidth="1"/>
    <col min="6" max="8" width="12" customWidth="1"/>
  </cols>
  <sheetData>
    <row r="1" spans="1:8" ht="17.399999999999999" customHeight="1">
      <c r="A1" s="2" t="s">
        <v>284</v>
      </c>
      <c r="B1" s="2"/>
      <c r="C1" s="2"/>
      <c r="D1" s="2"/>
      <c r="E1" s="2"/>
      <c r="F1" s="2"/>
      <c r="G1" s="2"/>
      <c r="H1" s="2"/>
    </row>
    <row r="2" spans="1:8">
      <c r="A2" s="3" t="s">
        <v>125</v>
      </c>
      <c r="B2" s="3" t="s">
        <v>126</v>
      </c>
      <c r="C2" s="3" t="s">
        <v>1</v>
      </c>
      <c r="D2" s="3" t="s">
        <v>127</v>
      </c>
      <c r="E2" s="3" t="s">
        <v>128</v>
      </c>
      <c r="F2" s="3" t="s">
        <v>129</v>
      </c>
      <c r="G2" s="3" t="s">
        <v>130</v>
      </c>
      <c r="H2" s="3" t="s">
        <v>131</v>
      </c>
    </row>
    <row r="3" spans="1:8">
      <c r="A3" s="7" t="s">
        <v>157</v>
      </c>
      <c r="B3" s="7" t="s">
        <v>217</v>
      </c>
      <c r="C3" s="4" t="s">
        <v>45</v>
      </c>
      <c r="D3" s="8">
        <v>4</v>
      </c>
      <c r="E3" s="12">
        <v>175</v>
      </c>
      <c r="F3" s="12">
        <v>700</v>
      </c>
      <c r="G3" s="12"/>
      <c r="H3" s="13">
        <f>IF(AND($B3="",$C3="",$F3="",$G3=""),0,0+IF($F3="",0,$F3)-IF($G3="",0,$G3))</f>
        <v>700</v>
      </c>
    </row>
    <row r="4" spans="1:8">
      <c r="A4" s="7" t="s">
        <v>236</v>
      </c>
      <c r="B4" s="7" t="s">
        <v>285</v>
      </c>
      <c r="C4" s="4"/>
      <c r="D4" s="8">
        <v>15</v>
      </c>
      <c r="E4" s="12">
        <v>160</v>
      </c>
      <c r="F4" s="12">
        <v>2400</v>
      </c>
      <c r="G4" s="12"/>
      <c r="H4" s="13">
        <f t="shared" ref="H4:H30" si="0">IF(AND($B4="",$C4="",$F4="",$G4=""),$H3,$H3+IF($F4="",0,$F4)-IF($G4="",0,$G4))</f>
        <v>3100</v>
      </c>
    </row>
    <row r="5" spans="1:8">
      <c r="A5" s="7" t="s">
        <v>236</v>
      </c>
      <c r="B5" s="7"/>
      <c r="C5" s="4"/>
      <c r="D5" s="8"/>
      <c r="E5" s="12"/>
      <c r="F5" s="12"/>
      <c r="G5" s="12">
        <v>2400</v>
      </c>
      <c r="H5" s="13">
        <f t="shared" si="0"/>
        <v>700</v>
      </c>
    </row>
    <row r="6" spans="1:8">
      <c r="A6" s="7" t="s">
        <v>198</v>
      </c>
      <c r="B6" s="7" t="s">
        <v>286</v>
      </c>
      <c r="C6" s="4" t="s">
        <v>83</v>
      </c>
      <c r="D6" s="8">
        <v>8</v>
      </c>
      <c r="E6" s="12">
        <v>385</v>
      </c>
      <c r="F6" s="12">
        <v>3080</v>
      </c>
      <c r="G6" s="12"/>
      <c r="H6" s="13">
        <f t="shared" si="0"/>
        <v>3780</v>
      </c>
    </row>
    <row r="7" spans="1:8">
      <c r="A7" s="7" t="s">
        <v>198</v>
      </c>
      <c r="B7" s="7"/>
      <c r="C7" s="4"/>
      <c r="D7" s="8"/>
      <c r="E7" s="12"/>
      <c r="F7" s="12"/>
      <c r="G7" s="12">
        <v>2900</v>
      </c>
      <c r="H7" s="13">
        <f t="shared" si="0"/>
        <v>880</v>
      </c>
    </row>
    <row r="8" spans="1:8">
      <c r="A8" s="7" t="s">
        <v>199</v>
      </c>
      <c r="B8" s="7" t="s">
        <v>189</v>
      </c>
      <c r="C8" s="4"/>
      <c r="D8" s="8"/>
      <c r="E8" s="12"/>
      <c r="F8" s="12"/>
      <c r="G8" s="12">
        <v>800</v>
      </c>
      <c r="H8" s="13">
        <f t="shared" si="0"/>
        <v>80</v>
      </c>
    </row>
    <row r="9" spans="1:8">
      <c r="A9" s="7" t="s">
        <v>199</v>
      </c>
      <c r="B9" s="7"/>
      <c r="C9" s="4"/>
      <c r="D9" s="8">
        <v>8</v>
      </c>
      <c r="E9" s="12">
        <v>360</v>
      </c>
      <c r="F9" s="12">
        <v>2880</v>
      </c>
      <c r="G9" s="12"/>
      <c r="H9" s="13">
        <f t="shared" si="0"/>
        <v>2960</v>
      </c>
    </row>
    <row r="10" spans="1:8">
      <c r="A10" s="7" t="s">
        <v>287</v>
      </c>
      <c r="B10" s="7" t="s">
        <v>136</v>
      </c>
      <c r="C10" s="4"/>
      <c r="D10" s="8"/>
      <c r="E10" s="12"/>
      <c r="F10" s="12"/>
      <c r="G10" s="12">
        <v>2800</v>
      </c>
      <c r="H10" s="13">
        <f t="shared" si="0"/>
        <v>160</v>
      </c>
    </row>
    <row r="11" spans="1:8">
      <c r="A11" s="7"/>
      <c r="B11" s="7"/>
      <c r="C11" s="4"/>
      <c r="D11" s="8"/>
      <c r="E11" s="12"/>
      <c r="F11" s="12"/>
      <c r="G11" s="12"/>
      <c r="H11" s="13">
        <f t="shared" si="0"/>
        <v>160</v>
      </c>
    </row>
    <row r="12" spans="1:8">
      <c r="A12" s="7"/>
      <c r="B12" s="7"/>
      <c r="C12" s="4"/>
      <c r="D12" s="8"/>
      <c r="E12" s="12"/>
      <c r="F12" s="12"/>
      <c r="G12" s="12"/>
      <c r="H12" s="13">
        <f t="shared" si="0"/>
        <v>160</v>
      </c>
    </row>
    <row r="13" spans="1:8">
      <c r="A13" s="7"/>
      <c r="B13" s="7"/>
      <c r="C13" s="4"/>
      <c r="D13" s="8"/>
      <c r="E13" s="12"/>
      <c r="F13" s="12"/>
      <c r="G13" s="12"/>
      <c r="H13" s="13">
        <f t="shared" si="0"/>
        <v>160</v>
      </c>
    </row>
    <row r="14" spans="1:8">
      <c r="A14" s="7"/>
      <c r="B14" s="7"/>
      <c r="C14" s="4"/>
      <c r="D14" s="8"/>
      <c r="E14" s="12"/>
      <c r="F14" s="12"/>
      <c r="G14" s="12"/>
      <c r="H14" s="13">
        <f t="shared" si="0"/>
        <v>160</v>
      </c>
    </row>
    <row r="15" spans="1:8">
      <c r="A15" s="7"/>
      <c r="B15" s="7"/>
      <c r="C15" s="4"/>
      <c r="D15" s="8"/>
      <c r="E15" s="12"/>
      <c r="F15" s="12"/>
      <c r="G15" s="12"/>
      <c r="H15" s="13">
        <f t="shared" si="0"/>
        <v>160</v>
      </c>
    </row>
    <row r="16" spans="1:8">
      <c r="A16" s="7"/>
      <c r="B16" s="7"/>
      <c r="C16" s="4"/>
      <c r="D16" s="8"/>
      <c r="E16" s="12"/>
      <c r="F16" s="12"/>
      <c r="G16" s="12"/>
      <c r="H16" s="13">
        <f t="shared" si="0"/>
        <v>160</v>
      </c>
    </row>
    <row r="17" spans="1:8">
      <c r="A17" s="7"/>
      <c r="B17" s="7"/>
      <c r="C17" s="4"/>
      <c r="D17" s="8"/>
      <c r="E17" s="12"/>
      <c r="F17" s="12"/>
      <c r="G17" s="12"/>
      <c r="H17" s="13">
        <f t="shared" si="0"/>
        <v>160</v>
      </c>
    </row>
    <row r="18" spans="1:8">
      <c r="A18" s="7"/>
      <c r="B18" s="7"/>
      <c r="C18" s="4"/>
      <c r="D18" s="8"/>
      <c r="E18" s="12"/>
      <c r="F18" s="12"/>
      <c r="G18" s="12"/>
      <c r="H18" s="13">
        <f t="shared" si="0"/>
        <v>160</v>
      </c>
    </row>
    <row r="19" spans="1:8">
      <c r="A19" s="7"/>
      <c r="B19" s="7"/>
      <c r="C19" s="4"/>
      <c r="D19" s="8"/>
      <c r="E19" s="12"/>
      <c r="F19" s="12"/>
      <c r="G19" s="12"/>
      <c r="H19" s="13">
        <f t="shared" si="0"/>
        <v>160</v>
      </c>
    </row>
    <row r="20" spans="1:8">
      <c r="A20" s="7"/>
      <c r="B20" s="7"/>
      <c r="C20" s="4"/>
      <c r="D20" s="8"/>
      <c r="E20" s="12"/>
      <c r="F20" s="12"/>
      <c r="G20" s="12"/>
      <c r="H20" s="13">
        <f t="shared" si="0"/>
        <v>160</v>
      </c>
    </row>
    <row r="21" spans="1:8">
      <c r="A21" s="7"/>
      <c r="B21" s="7"/>
      <c r="C21" s="4"/>
      <c r="D21" s="8"/>
      <c r="E21" s="12"/>
      <c r="F21" s="12"/>
      <c r="G21" s="12"/>
      <c r="H21" s="13">
        <f t="shared" si="0"/>
        <v>160</v>
      </c>
    </row>
    <row r="22" spans="1:8">
      <c r="A22" s="7"/>
      <c r="B22" s="7"/>
      <c r="C22" s="4"/>
      <c r="D22" s="8"/>
      <c r="E22" s="12"/>
      <c r="F22" s="12"/>
      <c r="G22" s="12"/>
      <c r="H22" s="13">
        <f t="shared" si="0"/>
        <v>160</v>
      </c>
    </row>
    <row r="23" spans="1:8">
      <c r="A23" s="7"/>
      <c r="B23" s="7"/>
      <c r="C23" s="4"/>
      <c r="D23" s="8"/>
      <c r="E23" s="12"/>
      <c r="F23" s="12"/>
      <c r="G23" s="12"/>
      <c r="H23" s="13">
        <f t="shared" si="0"/>
        <v>160</v>
      </c>
    </row>
    <row r="24" spans="1:8">
      <c r="A24" s="7"/>
      <c r="B24" s="7"/>
      <c r="C24" s="4"/>
      <c r="D24" s="8"/>
      <c r="E24" s="12"/>
      <c r="F24" s="12"/>
      <c r="G24" s="12"/>
      <c r="H24" s="13">
        <f t="shared" si="0"/>
        <v>160</v>
      </c>
    </row>
    <row r="25" spans="1:8">
      <c r="A25" s="7"/>
      <c r="B25" s="7"/>
      <c r="C25" s="4"/>
      <c r="D25" s="8"/>
      <c r="E25" s="12"/>
      <c r="F25" s="12"/>
      <c r="G25" s="12"/>
      <c r="H25" s="13">
        <f t="shared" si="0"/>
        <v>160</v>
      </c>
    </row>
    <row r="26" spans="1:8">
      <c r="A26" s="7"/>
      <c r="B26" s="7"/>
      <c r="C26" s="4"/>
      <c r="D26" s="8"/>
      <c r="E26" s="12"/>
      <c r="F26" s="12"/>
      <c r="G26" s="12"/>
      <c r="H26" s="13">
        <f t="shared" si="0"/>
        <v>160</v>
      </c>
    </row>
    <row r="27" spans="1:8">
      <c r="A27" s="7"/>
      <c r="B27" s="7"/>
      <c r="C27" s="4"/>
      <c r="D27" s="8"/>
      <c r="E27" s="12"/>
      <c r="F27" s="12"/>
      <c r="G27" s="12"/>
      <c r="H27" s="13">
        <f t="shared" si="0"/>
        <v>160</v>
      </c>
    </row>
    <row r="28" spans="1:8">
      <c r="A28" s="7"/>
      <c r="B28" s="7"/>
      <c r="C28" s="4"/>
      <c r="D28" s="8"/>
      <c r="E28" s="12"/>
      <c r="F28" s="12"/>
      <c r="G28" s="12"/>
      <c r="H28" s="13">
        <f t="shared" si="0"/>
        <v>160</v>
      </c>
    </row>
    <row r="29" spans="1:8">
      <c r="A29" s="7"/>
      <c r="B29" s="7"/>
      <c r="C29" s="4"/>
      <c r="D29" s="8"/>
      <c r="E29" s="12"/>
      <c r="F29" s="12"/>
      <c r="G29" s="12"/>
      <c r="H29" s="13">
        <f t="shared" si="0"/>
        <v>160</v>
      </c>
    </row>
    <row r="30" spans="1:8">
      <c r="A30" s="7"/>
      <c r="B30" s="7"/>
      <c r="C30" s="4"/>
      <c r="D30" s="8"/>
      <c r="E30" s="12"/>
      <c r="F30" s="12"/>
      <c r="G30" s="12"/>
      <c r="H30" s="13">
        <f t="shared" si="0"/>
        <v>160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كود غير صحيح" error="الكود غير موجود في شيت المخزن - أضفه هناك أولاً" xr:uid="{00000000-0002-0000-1200-000000000000}">
          <x14:formula1>
            <xm:f>المخزن!$A$3:$A$43</xm:f>
          </x14:formula1>
          <x14:formula2>
            <xm:f>0</xm:f>
          </x14:formula2>
          <xm:sqref>C3:C30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3"/>
  <sheetViews>
    <sheetView rightToLeft="1" zoomScaleNormal="100" workbookViewId="0">
      <pane ySplit="2" topLeftCell="A3" activePane="bottomLeft" state="frozen"/>
      <selection pane="bottomLeft" sqref="A1:H1"/>
    </sheetView>
  </sheetViews>
  <sheetFormatPr defaultColWidth="8.6640625" defaultRowHeight="14.4"/>
  <cols>
    <col min="1" max="1" width="12" customWidth="1"/>
    <col min="2" max="2" width="30" customWidth="1"/>
    <col min="3" max="3" width="10" customWidth="1"/>
    <col min="4" max="4" width="8" customWidth="1"/>
    <col min="5" max="5" width="10" customWidth="1"/>
    <col min="6" max="8" width="12" customWidth="1"/>
  </cols>
  <sheetData>
    <row r="1" spans="1:8" ht="17.399999999999999" customHeight="1">
      <c r="A1" s="2" t="s">
        <v>288</v>
      </c>
      <c r="B1" s="2"/>
      <c r="C1" s="2"/>
      <c r="D1" s="2"/>
      <c r="E1" s="2"/>
      <c r="F1" s="2"/>
      <c r="G1" s="2"/>
      <c r="H1" s="2"/>
    </row>
    <row r="2" spans="1:8">
      <c r="A2" s="3" t="s">
        <v>125</v>
      </c>
      <c r="B2" s="3" t="s">
        <v>126</v>
      </c>
      <c r="C2" s="3" t="s">
        <v>1</v>
      </c>
      <c r="D2" s="3" t="s">
        <v>127</v>
      </c>
      <c r="E2" s="3" t="s">
        <v>128</v>
      </c>
      <c r="F2" s="3" t="s">
        <v>129</v>
      </c>
      <c r="G2" s="3" t="s">
        <v>130</v>
      </c>
      <c r="H2" s="3" t="s">
        <v>131</v>
      </c>
    </row>
    <row r="3" spans="1:8">
      <c r="A3" s="7" t="s">
        <v>161</v>
      </c>
      <c r="B3" s="7" t="s">
        <v>218</v>
      </c>
      <c r="C3" s="4" t="s">
        <v>73</v>
      </c>
      <c r="D3" s="8">
        <v>4</v>
      </c>
      <c r="E3" s="12">
        <v>300</v>
      </c>
      <c r="F3" s="12">
        <v>1200</v>
      </c>
      <c r="G3" s="12"/>
      <c r="H3" s="13">
        <f>IF(AND($B3="",$C3="",$F3="",$G3=""),0,0+IF($F3="",0,$F3)-IF($G3="",0,$G3))</f>
        <v>1200</v>
      </c>
    </row>
    <row r="4" spans="1:8">
      <c r="A4" s="7" t="s">
        <v>161</v>
      </c>
      <c r="B4" s="7" t="s">
        <v>231</v>
      </c>
      <c r="C4" s="4"/>
      <c r="D4" s="8">
        <v>8</v>
      </c>
      <c r="E4" s="12">
        <v>350</v>
      </c>
      <c r="F4" s="12">
        <v>2800</v>
      </c>
      <c r="G4" s="12"/>
      <c r="H4" s="13">
        <f t="shared" ref="H4:H33" si="0">IF(AND($B4="",$C4="",$F4="",$G4=""),$H3,$H3+IF($F4="",0,$F4)-IF($G4="",0,$G4))</f>
        <v>4000</v>
      </c>
    </row>
    <row r="5" spans="1:8">
      <c r="A5" s="7" t="s">
        <v>198</v>
      </c>
      <c r="B5" s="7" t="s">
        <v>80</v>
      </c>
      <c r="C5" s="4" t="s">
        <v>112</v>
      </c>
      <c r="D5" s="8">
        <v>12</v>
      </c>
      <c r="E5" s="12">
        <v>380</v>
      </c>
      <c r="F5" s="12">
        <v>4560</v>
      </c>
      <c r="G5" s="12"/>
      <c r="H5" s="13">
        <f t="shared" si="0"/>
        <v>8560</v>
      </c>
    </row>
    <row r="6" spans="1:8">
      <c r="A6" s="7" t="s">
        <v>198</v>
      </c>
      <c r="B6" s="7" t="s">
        <v>232</v>
      </c>
      <c r="C6" s="4"/>
      <c r="D6" s="8"/>
      <c r="E6" s="12"/>
      <c r="F6" s="12"/>
      <c r="G6" s="12">
        <v>2800</v>
      </c>
      <c r="H6" s="13">
        <f t="shared" si="0"/>
        <v>5760</v>
      </c>
    </row>
    <row r="7" spans="1:8">
      <c r="A7" s="7" t="s">
        <v>198</v>
      </c>
      <c r="B7" s="7" t="s">
        <v>136</v>
      </c>
      <c r="C7" s="4"/>
      <c r="D7" s="8"/>
      <c r="E7" s="12"/>
      <c r="F7" s="12"/>
      <c r="G7" s="12">
        <v>4500</v>
      </c>
      <c r="H7" s="13">
        <f t="shared" si="0"/>
        <v>1260</v>
      </c>
    </row>
    <row r="8" spans="1:8">
      <c r="A8" s="7" t="s">
        <v>225</v>
      </c>
      <c r="B8" s="7" t="s">
        <v>227</v>
      </c>
      <c r="C8" s="4" t="s">
        <v>85</v>
      </c>
      <c r="D8" s="8">
        <v>8</v>
      </c>
      <c r="E8" s="12">
        <v>390</v>
      </c>
      <c r="F8" s="12">
        <v>3120</v>
      </c>
      <c r="G8" s="12"/>
      <c r="H8" s="13">
        <f t="shared" si="0"/>
        <v>4380</v>
      </c>
    </row>
    <row r="9" spans="1:8">
      <c r="A9" s="7" t="s">
        <v>225</v>
      </c>
      <c r="B9" s="7" t="s">
        <v>189</v>
      </c>
      <c r="C9" s="4"/>
      <c r="D9" s="8"/>
      <c r="E9" s="12"/>
      <c r="F9" s="12"/>
      <c r="G9" s="12">
        <v>2000</v>
      </c>
      <c r="H9" s="13">
        <f t="shared" si="0"/>
        <v>2380</v>
      </c>
    </row>
    <row r="10" spans="1:8">
      <c r="A10" s="11">
        <v>46030</v>
      </c>
      <c r="B10" s="7" t="s">
        <v>136</v>
      </c>
      <c r="C10" s="4"/>
      <c r="D10" s="8"/>
      <c r="E10" s="12"/>
      <c r="F10" s="12"/>
      <c r="G10" s="12">
        <v>2000</v>
      </c>
      <c r="H10" s="13">
        <f t="shared" si="0"/>
        <v>380</v>
      </c>
    </row>
    <row r="11" spans="1:8">
      <c r="A11" s="11">
        <v>46030</v>
      </c>
      <c r="B11" s="7" t="s">
        <v>289</v>
      </c>
      <c r="C11" s="4" t="s">
        <v>61</v>
      </c>
      <c r="D11" s="8">
        <v>8</v>
      </c>
      <c r="E11" s="12">
        <v>340</v>
      </c>
      <c r="F11" s="12">
        <v>2720</v>
      </c>
      <c r="G11" s="12"/>
      <c r="H11" s="13">
        <f t="shared" si="0"/>
        <v>3100</v>
      </c>
    </row>
    <row r="12" spans="1:8">
      <c r="A12" s="11">
        <v>46030</v>
      </c>
      <c r="B12" s="7" t="s">
        <v>290</v>
      </c>
      <c r="C12" s="4" t="s">
        <v>85</v>
      </c>
      <c r="D12" s="8">
        <v>7</v>
      </c>
      <c r="E12" s="12">
        <v>390</v>
      </c>
      <c r="F12" s="12"/>
      <c r="G12" s="12">
        <v>2730</v>
      </c>
      <c r="H12" s="13">
        <f t="shared" si="0"/>
        <v>370</v>
      </c>
    </row>
    <row r="13" spans="1:8">
      <c r="A13" s="7" t="s">
        <v>246</v>
      </c>
      <c r="B13" s="7" t="s">
        <v>245</v>
      </c>
      <c r="C13" s="4" t="s">
        <v>100</v>
      </c>
      <c r="D13" s="8">
        <v>8</v>
      </c>
      <c r="E13" s="12">
        <v>340</v>
      </c>
      <c r="F13" s="12">
        <v>2720</v>
      </c>
      <c r="G13" s="12"/>
      <c r="H13" s="13">
        <f t="shared" si="0"/>
        <v>3090</v>
      </c>
    </row>
    <row r="14" spans="1:8">
      <c r="A14" s="7"/>
      <c r="B14" s="7"/>
      <c r="C14" s="4"/>
      <c r="D14" s="8"/>
      <c r="E14" s="12"/>
      <c r="F14" s="12"/>
      <c r="G14" s="12"/>
      <c r="H14" s="13">
        <f t="shared" si="0"/>
        <v>3090</v>
      </c>
    </row>
    <row r="15" spans="1:8">
      <c r="A15" s="7"/>
      <c r="B15" s="7"/>
      <c r="C15" s="4"/>
      <c r="D15" s="8"/>
      <c r="E15" s="12"/>
      <c r="F15" s="12"/>
      <c r="G15" s="12"/>
      <c r="H15" s="13">
        <f t="shared" si="0"/>
        <v>3090</v>
      </c>
    </row>
    <row r="16" spans="1:8">
      <c r="A16" s="7"/>
      <c r="B16" s="7"/>
      <c r="C16" s="4"/>
      <c r="D16" s="8"/>
      <c r="E16" s="12"/>
      <c r="F16" s="12"/>
      <c r="G16" s="12"/>
      <c r="H16" s="13">
        <f t="shared" si="0"/>
        <v>3090</v>
      </c>
    </row>
    <row r="17" spans="1:8">
      <c r="A17" s="7"/>
      <c r="B17" s="7"/>
      <c r="C17" s="4"/>
      <c r="D17" s="8"/>
      <c r="E17" s="12"/>
      <c r="F17" s="12"/>
      <c r="G17" s="12"/>
      <c r="H17" s="13">
        <f t="shared" si="0"/>
        <v>3090</v>
      </c>
    </row>
    <row r="18" spans="1:8">
      <c r="A18" s="7"/>
      <c r="B18" s="7"/>
      <c r="C18" s="4"/>
      <c r="D18" s="8"/>
      <c r="E18" s="12"/>
      <c r="F18" s="12"/>
      <c r="G18" s="12"/>
      <c r="H18" s="13">
        <f t="shared" si="0"/>
        <v>3090</v>
      </c>
    </row>
    <row r="19" spans="1:8">
      <c r="A19" s="7"/>
      <c r="B19" s="7"/>
      <c r="C19" s="4"/>
      <c r="D19" s="8"/>
      <c r="E19" s="12"/>
      <c r="F19" s="12"/>
      <c r="G19" s="12"/>
      <c r="H19" s="13">
        <f t="shared" si="0"/>
        <v>3090</v>
      </c>
    </row>
    <row r="20" spans="1:8">
      <c r="A20" s="7"/>
      <c r="B20" s="7"/>
      <c r="C20" s="4"/>
      <c r="D20" s="8"/>
      <c r="E20" s="12"/>
      <c r="F20" s="12"/>
      <c r="G20" s="12"/>
      <c r="H20" s="13">
        <f t="shared" si="0"/>
        <v>3090</v>
      </c>
    </row>
    <row r="21" spans="1:8">
      <c r="A21" s="7"/>
      <c r="B21" s="7"/>
      <c r="C21" s="4"/>
      <c r="D21" s="8"/>
      <c r="E21" s="12"/>
      <c r="F21" s="12"/>
      <c r="G21" s="12"/>
      <c r="H21" s="13">
        <f t="shared" si="0"/>
        <v>3090</v>
      </c>
    </row>
    <row r="22" spans="1:8">
      <c r="A22" s="7"/>
      <c r="B22" s="7"/>
      <c r="C22" s="4"/>
      <c r="D22" s="8"/>
      <c r="E22" s="12"/>
      <c r="F22" s="12"/>
      <c r="G22" s="12"/>
      <c r="H22" s="13">
        <f t="shared" si="0"/>
        <v>3090</v>
      </c>
    </row>
    <row r="23" spans="1:8">
      <c r="A23" s="7"/>
      <c r="B23" s="7"/>
      <c r="C23" s="4"/>
      <c r="D23" s="8"/>
      <c r="E23" s="12"/>
      <c r="F23" s="12"/>
      <c r="G23" s="12"/>
      <c r="H23" s="13">
        <f t="shared" si="0"/>
        <v>3090</v>
      </c>
    </row>
    <row r="24" spans="1:8">
      <c r="A24" s="7"/>
      <c r="B24" s="7"/>
      <c r="C24" s="4"/>
      <c r="D24" s="8"/>
      <c r="E24" s="12"/>
      <c r="F24" s="12"/>
      <c r="G24" s="12"/>
      <c r="H24" s="13">
        <f t="shared" si="0"/>
        <v>3090</v>
      </c>
    </row>
    <row r="25" spans="1:8">
      <c r="A25" s="7"/>
      <c r="B25" s="7"/>
      <c r="C25" s="4"/>
      <c r="D25" s="8"/>
      <c r="E25" s="12"/>
      <c r="F25" s="12"/>
      <c r="G25" s="12"/>
      <c r="H25" s="13">
        <f t="shared" si="0"/>
        <v>3090</v>
      </c>
    </row>
    <row r="26" spans="1:8">
      <c r="A26" s="7"/>
      <c r="B26" s="7"/>
      <c r="C26" s="4"/>
      <c r="D26" s="8"/>
      <c r="E26" s="12"/>
      <c r="F26" s="12"/>
      <c r="G26" s="12"/>
      <c r="H26" s="13">
        <f t="shared" si="0"/>
        <v>3090</v>
      </c>
    </row>
    <row r="27" spans="1:8">
      <c r="A27" s="7"/>
      <c r="B27" s="7"/>
      <c r="C27" s="4"/>
      <c r="D27" s="8"/>
      <c r="E27" s="12"/>
      <c r="F27" s="12"/>
      <c r="G27" s="12"/>
      <c r="H27" s="13">
        <f t="shared" si="0"/>
        <v>3090</v>
      </c>
    </row>
    <row r="28" spans="1:8">
      <c r="A28" s="7"/>
      <c r="B28" s="7"/>
      <c r="C28" s="4"/>
      <c r="D28" s="8"/>
      <c r="E28" s="12"/>
      <c r="F28" s="12"/>
      <c r="G28" s="12"/>
      <c r="H28" s="13">
        <f t="shared" si="0"/>
        <v>3090</v>
      </c>
    </row>
    <row r="29" spans="1:8">
      <c r="A29" s="7"/>
      <c r="B29" s="7"/>
      <c r="C29" s="4"/>
      <c r="D29" s="8"/>
      <c r="E29" s="12"/>
      <c r="F29" s="12"/>
      <c r="G29" s="12"/>
      <c r="H29" s="13">
        <f t="shared" si="0"/>
        <v>3090</v>
      </c>
    </row>
    <row r="30" spans="1:8">
      <c r="A30" s="7"/>
      <c r="B30" s="7"/>
      <c r="C30" s="4"/>
      <c r="D30" s="8"/>
      <c r="E30" s="12"/>
      <c r="F30" s="12"/>
      <c r="G30" s="12"/>
      <c r="H30" s="13">
        <f t="shared" si="0"/>
        <v>3090</v>
      </c>
    </row>
    <row r="31" spans="1:8">
      <c r="A31" s="7"/>
      <c r="B31" s="7"/>
      <c r="C31" s="4"/>
      <c r="D31" s="8"/>
      <c r="E31" s="12"/>
      <c r="F31" s="12"/>
      <c r="G31" s="12"/>
      <c r="H31" s="13">
        <f t="shared" si="0"/>
        <v>3090</v>
      </c>
    </row>
    <row r="32" spans="1:8">
      <c r="A32" s="7"/>
      <c r="B32" s="7"/>
      <c r="C32" s="4"/>
      <c r="D32" s="8"/>
      <c r="E32" s="12"/>
      <c r="F32" s="12"/>
      <c r="G32" s="12"/>
      <c r="H32" s="13">
        <f t="shared" si="0"/>
        <v>3090</v>
      </c>
    </row>
    <row r="33" spans="1:8">
      <c r="A33" s="7"/>
      <c r="B33" s="7"/>
      <c r="C33" s="4"/>
      <c r="D33" s="8"/>
      <c r="E33" s="12"/>
      <c r="F33" s="12"/>
      <c r="G33" s="12"/>
      <c r="H33" s="13">
        <f t="shared" si="0"/>
        <v>3090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كود غير صحيح" error="الكود غير موجود في شيت المخزن - أضفه هناك أولاً" xr:uid="{00000000-0002-0000-1300-000000000000}">
          <x14:formula1>
            <xm:f>المخزن!$A$3:$A$43</xm:f>
          </x14:formula1>
          <x14:formula2>
            <xm:f>0</xm:f>
          </x14:formula2>
          <xm:sqref>C3:C33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35"/>
  <sheetViews>
    <sheetView rightToLeft="1" zoomScaleNormal="100" workbookViewId="0">
      <pane ySplit="2" topLeftCell="A3" activePane="bottomLeft" state="frozen"/>
      <selection pane="bottomLeft" sqref="A1:H1"/>
    </sheetView>
  </sheetViews>
  <sheetFormatPr defaultColWidth="8.6640625" defaultRowHeight="14.4"/>
  <cols>
    <col min="1" max="1" width="12" customWidth="1"/>
    <col min="2" max="2" width="30" customWidth="1"/>
    <col min="3" max="3" width="10" customWidth="1"/>
    <col min="4" max="4" width="8" customWidth="1"/>
    <col min="5" max="5" width="10" customWidth="1"/>
    <col min="6" max="8" width="12" customWidth="1"/>
  </cols>
  <sheetData>
    <row r="1" spans="1:8" ht="17.399999999999999" customHeight="1">
      <c r="A1" s="2" t="s">
        <v>291</v>
      </c>
      <c r="B1" s="2"/>
      <c r="C1" s="2"/>
      <c r="D1" s="2"/>
      <c r="E1" s="2"/>
      <c r="F1" s="2"/>
      <c r="G1" s="2"/>
      <c r="H1" s="2"/>
    </row>
    <row r="2" spans="1:8">
      <c r="A2" s="3" t="s">
        <v>125</v>
      </c>
      <c r="B2" s="3" t="s">
        <v>126</v>
      </c>
      <c r="C2" s="3" t="s">
        <v>1</v>
      </c>
      <c r="D2" s="3" t="s">
        <v>127</v>
      </c>
      <c r="E2" s="3" t="s">
        <v>128</v>
      </c>
      <c r="F2" s="3" t="s">
        <v>129</v>
      </c>
      <c r="G2" s="3" t="s">
        <v>130</v>
      </c>
      <c r="H2" s="3" t="s">
        <v>131</v>
      </c>
    </row>
    <row r="3" spans="1:8">
      <c r="A3" s="7" t="s">
        <v>292</v>
      </c>
      <c r="B3" s="7" t="s">
        <v>185</v>
      </c>
      <c r="C3" s="4" t="s">
        <v>69</v>
      </c>
      <c r="D3" s="8">
        <v>12</v>
      </c>
      <c r="E3" s="12">
        <v>200</v>
      </c>
      <c r="F3" s="12">
        <v>2400</v>
      </c>
      <c r="G3" s="12"/>
      <c r="H3" s="13">
        <f>IF(AND($B3="",$C3="",$F3="",$G3=""),0,0+IF($F3="",0,$F3)-IF($G3="",0,$G3))</f>
        <v>2400</v>
      </c>
    </row>
    <row r="4" spans="1:8">
      <c r="A4" s="7" t="s">
        <v>292</v>
      </c>
      <c r="B4" s="7" t="s">
        <v>60</v>
      </c>
      <c r="C4" s="4" t="s">
        <v>59</v>
      </c>
      <c r="D4" s="8">
        <v>4</v>
      </c>
      <c r="E4" s="12">
        <v>200</v>
      </c>
      <c r="F4" s="12">
        <v>800</v>
      </c>
      <c r="G4" s="12"/>
      <c r="H4" s="13">
        <f t="shared" ref="H4:H35" si="0">IF(AND($B4="",$C4="",$F4="",$G4=""),$H3,$H3+IF($F4="",0,$F4)-IF($G4="",0,$G4))</f>
        <v>3200</v>
      </c>
    </row>
    <row r="5" spans="1:8">
      <c r="A5" s="7" t="s">
        <v>292</v>
      </c>
      <c r="B5" s="7" t="s">
        <v>293</v>
      </c>
      <c r="C5" s="4" t="s">
        <v>37</v>
      </c>
      <c r="D5" s="8">
        <v>12</v>
      </c>
      <c r="E5" s="12">
        <v>310</v>
      </c>
      <c r="F5" s="12">
        <v>3720</v>
      </c>
      <c r="G5" s="12"/>
      <c r="H5" s="13">
        <f t="shared" si="0"/>
        <v>6920</v>
      </c>
    </row>
    <row r="6" spans="1:8">
      <c r="A6" s="7" t="s">
        <v>292</v>
      </c>
      <c r="B6" s="7" t="s">
        <v>117</v>
      </c>
      <c r="C6" s="4" t="s">
        <v>116</v>
      </c>
      <c r="D6" s="8">
        <v>8</v>
      </c>
      <c r="E6" s="12">
        <v>330</v>
      </c>
      <c r="F6" s="12">
        <v>2640</v>
      </c>
      <c r="G6" s="12"/>
      <c r="H6" s="13">
        <f t="shared" si="0"/>
        <v>9560</v>
      </c>
    </row>
    <row r="7" spans="1:8">
      <c r="A7" s="7" t="s">
        <v>292</v>
      </c>
      <c r="B7" s="7" t="s">
        <v>119</v>
      </c>
      <c r="C7" s="4" t="s">
        <v>118</v>
      </c>
      <c r="D7" s="8">
        <v>8</v>
      </c>
      <c r="E7" s="12">
        <v>260</v>
      </c>
      <c r="F7" s="12">
        <v>2080</v>
      </c>
      <c r="G7" s="12"/>
      <c r="H7" s="13">
        <f t="shared" si="0"/>
        <v>11640</v>
      </c>
    </row>
    <row r="8" spans="1:8">
      <c r="A8" s="7" t="s">
        <v>292</v>
      </c>
      <c r="B8" s="7" t="s">
        <v>189</v>
      </c>
      <c r="C8" s="4"/>
      <c r="D8" s="8"/>
      <c r="E8" s="12"/>
      <c r="F8" s="12"/>
      <c r="G8" s="12">
        <v>6000</v>
      </c>
      <c r="H8" s="13">
        <f t="shared" si="0"/>
        <v>5640</v>
      </c>
    </row>
    <row r="9" spans="1:8">
      <c r="A9" s="11">
        <v>46089</v>
      </c>
      <c r="B9" s="7" t="s">
        <v>294</v>
      </c>
      <c r="C9" s="4" t="s">
        <v>37</v>
      </c>
      <c r="D9" s="8">
        <v>4</v>
      </c>
      <c r="E9" s="12">
        <v>300</v>
      </c>
      <c r="F9" s="12">
        <v>1200</v>
      </c>
      <c r="G9" s="12"/>
      <c r="H9" s="13">
        <f t="shared" si="0"/>
        <v>6840</v>
      </c>
    </row>
    <row r="10" spans="1:8">
      <c r="A10" s="11">
        <v>46089</v>
      </c>
      <c r="B10" s="7" t="s">
        <v>62</v>
      </c>
      <c r="C10" s="4" t="s">
        <v>61</v>
      </c>
      <c r="D10" s="8">
        <v>12</v>
      </c>
      <c r="E10" s="12">
        <v>340</v>
      </c>
      <c r="F10" s="12">
        <v>4080</v>
      </c>
      <c r="G10" s="12"/>
      <c r="H10" s="13">
        <f t="shared" si="0"/>
        <v>10920</v>
      </c>
    </row>
    <row r="11" spans="1:8">
      <c r="A11" s="11">
        <v>46089</v>
      </c>
      <c r="B11" s="7" t="s">
        <v>295</v>
      </c>
      <c r="C11" s="4" t="s">
        <v>77</v>
      </c>
      <c r="D11" s="8">
        <v>4</v>
      </c>
      <c r="E11" s="12">
        <v>360</v>
      </c>
      <c r="F11" s="12">
        <v>1440</v>
      </c>
      <c r="G11" s="12"/>
      <c r="H11" s="13">
        <f t="shared" si="0"/>
        <v>12360</v>
      </c>
    </row>
    <row r="12" spans="1:8">
      <c r="A12" s="11">
        <v>46089</v>
      </c>
      <c r="B12" s="7"/>
      <c r="C12" s="4"/>
      <c r="D12" s="8"/>
      <c r="E12" s="12"/>
      <c r="F12" s="12"/>
      <c r="G12" s="12">
        <v>5000</v>
      </c>
      <c r="H12" s="13">
        <f t="shared" si="0"/>
        <v>7360</v>
      </c>
    </row>
    <row r="13" spans="1:8">
      <c r="A13" s="11">
        <v>46334</v>
      </c>
      <c r="B13" s="7"/>
      <c r="C13" s="4" t="s">
        <v>61</v>
      </c>
      <c r="D13" s="8">
        <v>8</v>
      </c>
      <c r="E13" s="12">
        <v>340</v>
      </c>
      <c r="F13" s="12">
        <v>2720</v>
      </c>
      <c r="G13" s="12"/>
      <c r="H13" s="13">
        <f t="shared" si="0"/>
        <v>10080</v>
      </c>
    </row>
    <row r="14" spans="1:8">
      <c r="A14" s="11">
        <v>46334</v>
      </c>
      <c r="B14" s="7"/>
      <c r="C14" s="4"/>
      <c r="D14" s="8"/>
      <c r="E14" s="12"/>
      <c r="F14" s="12"/>
      <c r="G14" s="12">
        <v>4000</v>
      </c>
      <c r="H14" s="13">
        <f t="shared" si="0"/>
        <v>6080</v>
      </c>
    </row>
    <row r="15" spans="1:8">
      <c r="A15" s="7" t="s">
        <v>296</v>
      </c>
      <c r="B15" s="7" t="s">
        <v>136</v>
      </c>
      <c r="C15" s="4"/>
      <c r="D15" s="8"/>
      <c r="E15" s="12"/>
      <c r="F15" s="12"/>
      <c r="G15" s="12">
        <v>3000</v>
      </c>
      <c r="H15" s="13">
        <f t="shared" si="0"/>
        <v>3080</v>
      </c>
    </row>
    <row r="16" spans="1:8">
      <c r="A16" s="7"/>
      <c r="B16" s="7"/>
      <c r="C16" s="4"/>
      <c r="D16" s="8"/>
      <c r="E16" s="12"/>
      <c r="F16" s="12"/>
      <c r="G16" s="12"/>
      <c r="H16" s="13">
        <f t="shared" si="0"/>
        <v>3080</v>
      </c>
    </row>
    <row r="17" spans="1:8">
      <c r="A17" s="7"/>
      <c r="B17" s="7"/>
      <c r="C17" s="4"/>
      <c r="D17" s="8"/>
      <c r="E17" s="12"/>
      <c r="F17" s="12"/>
      <c r="G17" s="12"/>
      <c r="H17" s="13">
        <f t="shared" si="0"/>
        <v>3080</v>
      </c>
    </row>
    <row r="18" spans="1:8">
      <c r="A18" s="7"/>
      <c r="B18" s="7"/>
      <c r="C18" s="4"/>
      <c r="D18" s="8"/>
      <c r="E18" s="12"/>
      <c r="F18" s="12"/>
      <c r="G18" s="12"/>
      <c r="H18" s="13">
        <f t="shared" si="0"/>
        <v>3080</v>
      </c>
    </row>
    <row r="19" spans="1:8">
      <c r="A19" s="7"/>
      <c r="B19" s="7"/>
      <c r="C19" s="4"/>
      <c r="D19" s="8"/>
      <c r="E19" s="12"/>
      <c r="F19" s="12"/>
      <c r="G19" s="12"/>
      <c r="H19" s="13">
        <f t="shared" si="0"/>
        <v>3080</v>
      </c>
    </row>
    <row r="20" spans="1:8">
      <c r="A20" s="7"/>
      <c r="B20" s="7"/>
      <c r="C20" s="4"/>
      <c r="D20" s="8"/>
      <c r="E20" s="12"/>
      <c r="F20" s="12"/>
      <c r="G20" s="12"/>
      <c r="H20" s="13">
        <f t="shared" si="0"/>
        <v>3080</v>
      </c>
    </row>
    <row r="21" spans="1:8">
      <c r="A21" s="7"/>
      <c r="B21" s="7"/>
      <c r="C21" s="4"/>
      <c r="D21" s="8"/>
      <c r="E21" s="12"/>
      <c r="F21" s="12"/>
      <c r="G21" s="12"/>
      <c r="H21" s="13">
        <f t="shared" si="0"/>
        <v>3080</v>
      </c>
    </row>
    <row r="22" spans="1:8">
      <c r="A22" s="7"/>
      <c r="B22" s="7"/>
      <c r="C22" s="4"/>
      <c r="D22" s="8"/>
      <c r="E22" s="12"/>
      <c r="F22" s="12"/>
      <c r="G22" s="12"/>
      <c r="H22" s="13">
        <f t="shared" si="0"/>
        <v>3080</v>
      </c>
    </row>
    <row r="23" spans="1:8">
      <c r="A23" s="7"/>
      <c r="B23" s="7"/>
      <c r="C23" s="4"/>
      <c r="D23" s="8"/>
      <c r="E23" s="12"/>
      <c r="F23" s="12"/>
      <c r="G23" s="12"/>
      <c r="H23" s="13">
        <f t="shared" si="0"/>
        <v>3080</v>
      </c>
    </row>
    <row r="24" spans="1:8">
      <c r="A24" s="7"/>
      <c r="B24" s="7"/>
      <c r="C24" s="4"/>
      <c r="D24" s="8"/>
      <c r="E24" s="12"/>
      <c r="F24" s="12"/>
      <c r="G24" s="12"/>
      <c r="H24" s="13">
        <f t="shared" si="0"/>
        <v>3080</v>
      </c>
    </row>
    <row r="25" spans="1:8">
      <c r="A25" s="7"/>
      <c r="B25" s="7"/>
      <c r="C25" s="4"/>
      <c r="D25" s="8"/>
      <c r="E25" s="12"/>
      <c r="F25" s="12"/>
      <c r="G25" s="12"/>
      <c r="H25" s="13">
        <f t="shared" si="0"/>
        <v>3080</v>
      </c>
    </row>
    <row r="26" spans="1:8">
      <c r="A26" s="7"/>
      <c r="B26" s="7"/>
      <c r="C26" s="4"/>
      <c r="D26" s="8"/>
      <c r="E26" s="12"/>
      <c r="F26" s="12"/>
      <c r="G26" s="12"/>
      <c r="H26" s="13">
        <f t="shared" si="0"/>
        <v>3080</v>
      </c>
    </row>
    <row r="27" spans="1:8">
      <c r="A27" s="7"/>
      <c r="B27" s="7"/>
      <c r="C27" s="4"/>
      <c r="D27" s="8"/>
      <c r="E27" s="12"/>
      <c r="F27" s="12"/>
      <c r="G27" s="12"/>
      <c r="H27" s="13">
        <f t="shared" si="0"/>
        <v>3080</v>
      </c>
    </row>
    <row r="28" spans="1:8">
      <c r="A28" s="7"/>
      <c r="B28" s="7"/>
      <c r="C28" s="4"/>
      <c r="D28" s="8"/>
      <c r="E28" s="12"/>
      <c r="F28" s="12"/>
      <c r="G28" s="12"/>
      <c r="H28" s="13">
        <f t="shared" si="0"/>
        <v>3080</v>
      </c>
    </row>
    <row r="29" spans="1:8">
      <c r="A29" s="7"/>
      <c r="B29" s="7"/>
      <c r="C29" s="4"/>
      <c r="D29" s="8"/>
      <c r="E29" s="12"/>
      <c r="F29" s="12"/>
      <c r="G29" s="12"/>
      <c r="H29" s="13">
        <f t="shared" si="0"/>
        <v>3080</v>
      </c>
    </row>
    <row r="30" spans="1:8">
      <c r="A30" s="7"/>
      <c r="B30" s="7"/>
      <c r="C30" s="4"/>
      <c r="D30" s="8"/>
      <c r="E30" s="12"/>
      <c r="F30" s="12"/>
      <c r="G30" s="12"/>
      <c r="H30" s="13">
        <f t="shared" si="0"/>
        <v>3080</v>
      </c>
    </row>
    <row r="31" spans="1:8">
      <c r="A31" s="7"/>
      <c r="B31" s="7"/>
      <c r="C31" s="4"/>
      <c r="D31" s="8"/>
      <c r="E31" s="12"/>
      <c r="F31" s="12"/>
      <c r="G31" s="12"/>
      <c r="H31" s="13">
        <f t="shared" si="0"/>
        <v>3080</v>
      </c>
    </row>
    <row r="32" spans="1:8">
      <c r="A32" s="7"/>
      <c r="B32" s="7"/>
      <c r="C32" s="4"/>
      <c r="D32" s="8"/>
      <c r="E32" s="12"/>
      <c r="F32" s="12"/>
      <c r="G32" s="12"/>
      <c r="H32" s="13">
        <f t="shared" si="0"/>
        <v>3080</v>
      </c>
    </row>
    <row r="33" spans="1:8">
      <c r="A33" s="7"/>
      <c r="B33" s="7"/>
      <c r="C33" s="4"/>
      <c r="D33" s="8"/>
      <c r="E33" s="12"/>
      <c r="F33" s="12"/>
      <c r="G33" s="12"/>
      <c r="H33" s="13">
        <f t="shared" si="0"/>
        <v>3080</v>
      </c>
    </row>
    <row r="34" spans="1:8">
      <c r="A34" s="7"/>
      <c r="B34" s="7"/>
      <c r="C34" s="4"/>
      <c r="D34" s="8"/>
      <c r="E34" s="12"/>
      <c r="F34" s="12"/>
      <c r="G34" s="12"/>
      <c r="H34" s="13">
        <f t="shared" si="0"/>
        <v>3080</v>
      </c>
    </row>
    <row r="35" spans="1:8">
      <c r="A35" s="7"/>
      <c r="B35" s="7"/>
      <c r="C35" s="4"/>
      <c r="D35" s="8"/>
      <c r="E35" s="12"/>
      <c r="F35" s="12"/>
      <c r="G35" s="12"/>
      <c r="H35" s="13">
        <f t="shared" si="0"/>
        <v>3080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كود غير صحيح" error="الكود غير موجود في شيت المخزن - أضفه هناك أولاً" xr:uid="{00000000-0002-0000-1400-000000000000}">
          <x14:formula1>
            <xm:f>المخزن!$A$3:$A$43</xm:f>
          </x14:formula1>
          <x14:formula2>
            <xm:f>0</xm:f>
          </x14:formula2>
          <xm:sqref>C3:C35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1"/>
  <sheetViews>
    <sheetView rightToLeft="1" zoomScaleNormal="100" workbookViewId="0">
      <pane ySplit="2" topLeftCell="A3" activePane="bottomLeft" state="frozen"/>
      <selection pane="bottomLeft" activeCell="A17" sqref="A17:A18"/>
    </sheetView>
  </sheetViews>
  <sheetFormatPr defaultColWidth="8.6640625" defaultRowHeight="14.4"/>
  <cols>
    <col min="1" max="1" width="12" customWidth="1"/>
    <col min="2" max="2" width="30" customWidth="1"/>
    <col min="3" max="3" width="10" customWidth="1"/>
    <col min="4" max="4" width="8" customWidth="1"/>
    <col min="5" max="5" width="10" customWidth="1"/>
    <col min="6" max="8" width="12" customWidth="1"/>
  </cols>
  <sheetData>
    <row r="1" spans="1:8" ht="17.399999999999999" customHeight="1">
      <c r="A1" s="2" t="s">
        <v>297</v>
      </c>
      <c r="B1" s="2"/>
      <c r="C1" s="2"/>
      <c r="D1" s="2"/>
      <c r="E1" s="2"/>
      <c r="F1" s="2"/>
      <c r="G1" s="2"/>
      <c r="H1" s="2"/>
    </row>
    <row r="2" spans="1:8">
      <c r="A2" s="3" t="s">
        <v>125</v>
      </c>
      <c r="B2" s="3" t="s">
        <v>126</v>
      </c>
      <c r="C2" s="3" t="s">
        <v>1</v>
      </c>
      <c r="D2" s="3" t="s">
        <v>127</v>
      </c>
      <c r="E2" s="3" t="s">
        <v>128</v>
      </c>
      <c r="F2" s="3" t="s">
        <v>129</v>
      </c>
      <c r="G2" s="3" t="s">
        <v>130</v>
      </c>
      <c r="H2" s="3" t="s">
        <v>131</v>
      </c>
    </row>
    <row r="3" spans="1:8">
      <c r="A3" s="7" t="s">
        <v>198</v>
      </c>
      <c r="B3" s="7" t="s">
        <v>298</v>
      </c>
      <c r="C3" s="4"/>
      <c r="D3" s="8">
        <v>8</v>
      </c>
      <c r="E3" s="12">
        <v>385</v>
      </c>
      <c r="F3" s="12">
        <v>3080</v>
      </c>
      <c r="G3" s="12"/>
      <c r="H3" s="13">
        <f>IF(AND($B3="",$C3="",$F3="",$G3=""),0,0+IF($F3="",0,$F3)-IF($G3="",0,$G3))</f>
        <v>3080</v>
      </c>
    </row>
    <row r="4" spans="1:8">
      <c r="A4" s="7" t="s">
        <v>198</v>
      </c>
      <c r="B4" s="7" t="s">
        <v>299</v>
      </c>
      <c r="C4" s="4"/>
      <c r="D4" s="8">
        <v>8</v>
      </c>
      <c r="E4" s="12">
        <v>365</v>
      </c>
      <c r="F4" s="12">
        <v>2920</v>
      </c>
      <c r="G4" s="12"/>
      <c r="H4" s="13">
        <f t="shared" ref="H4:H31" si="0">IF(AND($B4="",$C4="",$F4="",$G4=""),$H3,$H3+IF($F4="",0,$F4)-IF($G4="",0,$G4))</f>
        <v>6000</v>
      </c>
    </row>
    <row r="5" spans="1:8">
      <c r="A5" s="7" t="s">
        <v>198</v>
      </c>
      <c r="B5" s="7" t="s">
        <v>136</v>
      </c>
      <c r="C5" s="4"/>
      <c r="D5" s="8"/>
      <c r="E5" s="12"/>
      <c r="F5" s="12"/>
      <c r="G5" s="12">
        <v>2000</v>
      </c>
      <c r="H5" s="13">
        <f t="shared" si="0"/>
        <v>4000</v>
      </c>
    </row>
    <row r="6" spans="1:8">
      <c r="A6" s="7" t="s">
        <v>300</v>
      </c>
      <c r="B6" s="7" t="s">
        <v>301</v>
      </c>
      <c r="C6" s="4"/>
      <c r="D6" s="8">
        <v>8</v>
      </c>
      <c r="E6" s="12">
        <v>360</v>
      </c>
      <c r="F6" s="12">
        <v>2880</v>
      </c>
      <c r="G6" s="12"/>
      <c r="H6" s="13">
        <f t="shared" si="0"/>
        <v>6880</v>
      </c>
    </row>
    <row r="7" spans="1:8">
      <c r="A7" s="7" t="s">
        <v>302</v>
      </c>
      <c r="B7" s="7" t="s">
        <v>303</v>
      </c>
      <c r="C7" s="4"/>
      <c r="D7" s="8">
        <v>4</v>
      </c>
      <c r="E7" s="12">
        <v>200</v>
      </c>
      <c r="F7" s="12">
        <v>800</v>
      </c>
      <c r="G7" s="12"/>
      <c r="H7" s="13">
        <f t="shared" si="0"/>
        <v>7680</v>
      </c>
    </row>
    <row r="8" spans="1:8">
      <c r="A8" s="7" t="s">
        <v>302</v>
      </c>
      <c r="B8" s="7"/>
      <c r="C8" s="4" t="s">
        <v>106</v>
      </c>
      <c r="D8" s="8">
        <v>4</v>
      </c>
      <c r="E8" s="12">
        <v>200</v>
      </c>
      <c r="F8" s="12"/>
      <c r="G8" s="12">
        <v>800</v>
      </c>
      <c r="H8" s="13">
        <f t="shared" si="0"/>
        <v>6880</v>
      </c>
    </row>
    <row r="9" spans="1:8">
      <c r="A9" s="7" t="s">
        <v>292</v>
      </c>
      <c r="B9" s="7"/>
      <c r="C9" s="4"/>
      <c r="D9" s="8"/>
      <c r="E9" s="12"/>
      <c r="F9" s="12"/>
      <c r="G9" s="12">
        <v>2000</v>
      </c>
      <c r="H9" s="13">
        <f t="shared" si="0"/>
        <v>4880</v>
      </c>
    </row>
    <row r="10" spans="1:8">
      <c r="A10" s="7" t="s">
        <v>200</v>
      </c>
      <c r="B10" s="7"/>
      <c r="C10" s="4"/>
      <c r="D10" s="8"/>
      <c r="E10" s="12"/>
      <c r="F10" s="12"/>
      <c r="G10" s="12">
        <v>2000</v>
      </c>
      <c r="H10" s="13">
        <f t="shared" si="0"/>
        <v>2880</v>
      </c>
    </row>
    <row r="11" spans="1:8">
      <c r="A11" s="14">
        <v>46181</v>
      </c>
      <c r="B11" s="7" t="s">
        <v>136</v>
      </c>
      <c r="C11" s="4"/>
      <c r="D11" s="8"/>
      <c r="E11" s="12"/>
      <c r="F11" s="12"/>
      <c r="G11" s="12">
        <v>2000</v>
      </c>
      <c r="H11" s="13">
        <f t="shared" si="0"/>
        <v>880</v>
      </c>
    </row>
    <row r="12" spans="1:8">
      <c r="A12" s="18" t="s">
        <v>211</v>
      </c>
      <c r="B12" s="18" t="s">
        <v>356</v>
      </c>
      <c r="C12" s="4" t="s">
        <v>102</v>
      </c>
      <c r="D12" s="8">
        <v>4</v>
      </c>
      <c r="E12" s="12">
        <v>360</v>
      </c>
      <c r="F12" s="12">
        <f>E12*D12</f>
        <v>1440</v>
      </c>
      <c r="G12" s="12"/>
      <c r="H12" s="13">
        <f t="shared" si="0"/>
        <v>2320</v>
      </c>
    </row>
    <row r="13" spans="1:8">
      <c r="A13" s="18" t="s">
        <v>211</v>
      </c>
      <c r="B13" s="18" t="s">
        <v>105</v>
      </c>
      <c r="C13" s="4" t="s">
        <v>104</v>
      </c>
      <c r="D13" s="8">
        <v>3</v>
      </c>
      <c r="E13" s="12">
        <v>360</v>
      </c>
      <c r="F13" s="12">
        <f>E13*D13</f>
        <v>1080</v>
      </c>
      <c r="G13" s="12"/>
      <c r="H13" s="13">
        <f t="shared" si="0"/>
        <v>3400</v>
      </c>
    </row>
    <row r="14" spans="1:8">
      <c r="A14" s="18" t="s">
        <v>211</v>
      </c>
      <c r="B14" s="7"/>
      <c r="C14" s="4"/>
      <c r="D14" s="8"/>
      <c r="E14" s="12"/>
      <c r="F14" s="12"/>
      <c r="G14" s="12">
        <v>2000</v>
      </c>
      <c r="H14" s="13">
        <f t="shared" si="0"/>
        <v>1400</v>
      </c>
    </row>
    <row r="15" spans="1:8">
      <c r="A15" s="7"/>
      <c r="B15" s="7"/>
      <c r="C15" s="4"/>
      <c r="D15" s="8"/>
      <c r="E15" s="12"/>
      <c r="F15" s="12"/>
      <c r="G15" s="12"/>
      <c r="H15" s="13">
        <f t="shared" si="0"/>
        <v>1400</v>
      </c>
    </row>
    <row r="16" spans="1:8">
      <c r="A16" s="7"/>
      <c r="B16" s="7"/>
      <c r="C16" s="4"/>
      <c r="D16" s="8"/>
      <c r="E16" s="12"/>
      <c r="F16" s="12"/>
      <c r="G16" s="12"/>
      <c r="H16" s="13">
        <f t="shared" si="0"/>
        <v>1400</v>
      </c>
    </row>
    <row r="17" spans="1:8">
      <c r="A17" s="7"/>
      <c r="B17" s="7"/>
      <c r="C17" s="4"/>
      <c r="D17" s="8"/>
      <c r="E17" s="12"/>
      <c r="F17" s="12"/>
      <c r="G17" s="12"/>
      <c r="H17" s="13">
        <f t="shared" si="0"/>
        <v>1400</v>
      </c>
    </row>
    <row r="18" spans="1:8">
      <c r="A18" s="7"/>
      <c r="B18" s="7"/>
      <c r="C18" s="4"/>
      <c r="D18" s="8"/>
      <c r="E18" s="12"/>
      <c r="F18" s="12"/>
      <c r="G18" s="12"/>
      <c r="H18" s="13">
        <f t="shared" si="0"/>
        <v>1400</v>
      </c>
    </row>
    <row r="19" spans="1:8">
      <c r="A19" s="7"/>
      <c r="B19" s="7"/>
      <c r="C19" s="4"/>
      <c r="D19" s="8"/>
      <c r="E19" s="12"/>
      <c r="F19" s="12"/>
      <c r="G19" s="12"/>
      <c r="H19" s="13">
        <f t="shared" si="0"/>
        <v>1400</v>
      </c>
    </row>
    <row r="20" spans="1:8">
      <c r="A20" s="7"/>
      <c r="B20" s="7"/>
      <c r="C20" s="4"/>
      <c r="D20" s="8"/>
      <c r="E20" s="12"/>
      <c r="F20" s="12"/>
      <c r="G20" s="12"/>
      <c r="H20" s="13">
        <f t="shared" si="0"/>
        <v>1400</v>
      </c>
    </row>
    <row r="21" spans="1:8">
      <c r="A21" s="7"/>
      <c r="B21" s="7"/>
      <c r="C21" s="4"/>
      <c r="D21" s="8"/>
      <c r="E21" s="12"/>
      <c r="F21" s="12"/>
      <c r="G21" s="12"/>
      <c r="H21" s="13">
        <f t="shared" si="0"/>
        <v>1400</v>
      </c>
    </row>
    <row r="22" spans="1:8">
      <c r="A22" s="7"/>
      <c r="B22" s="7"/>
      <c r="C22" s="4"/>
      <c r="D22" s="8"/>
      <c r="E22" s="12"/>
      <c r="F22" s="12"/>
      <c r="G22" s="12"/>
      <c r="H22" s="13">
        <f t="shared" si="0"/>
        <v>1400</v>
      </c>
    </row>
    <row r="23" spans="1:8">
      <c r="A23" s="7"/>
      <c r="B23" s="7"/>
      <c r="C23" s="4"/>
      <c r="D23" s="8"/>
      <c r="E23" s="12"/>
      <c r="F23" s="12"/>
      <c r="G23" s="12"/>
      <c r="H23" s="13">
        <f t="shared" si="0"/>
        <v>1400</v>
      </c>
    </row>
    <row r="24" spans="1:8">
      <c r="A24" s="7"/>
      <c r="B24" s="7"/>
      <c r="C24" s="4"/>
      <c r="D24" s="8"/>
      <c r="E24" s="12"/>
      <c r="F24" s="12"/>
      <c r="G24" s="12"/>
      <c r="H24" s="13">
        <f t="shared" si="0"/>
        <v>1400</v>
      </c>
    </row>
    <row r="25" spans="1:8">
      <c r="A25" s="7"/>
      <c r="B25" s="7"/>
      <c r="C25" s="4"/>
      <c r="D25" s="8"/>
      <c r="E25" s="12"/>
      <c r="F25" s="12"/>
      <c r="G25" s="12"/>
      <c r="H25" s="13">
        <f t="shared" si="0"/>
        <v>1400</v>
      </c>
    </row>
    <row r="26" spans="1:8">
      <c r="A26" s="7"/>
      <c r="B26" s="7"/>
      <c r="C26" s="4"/>
      <c r="D26" s="8"/>
      <c r="E26" s="12"/>
      <c r="F26" s="12"/>
      <c r="G26" s="12"/>
      <c r="H26" s="13">
        <f t="shared" si="0"/>
        <v>1400</v>
      </c>
    </row>
    <row r="27" spans="1:8">
      <c r="A27" s="7"/>
      <c r="B27" s="7"/>
      <c r="C27" s="4"/>
      <c r="D27" s="8"/>
      <c r="E27" s="12"/>
      <c r="F27" s="12"/>
      <c r="G27" s="12"/>
      <c r="H27" s="13">
        <f t="shared" si="0"/>
        <v>1400</v>
      </c>
    </row>
    <row r="28" spans="1:8">
      <c r="A28" s="7"/>
      <c r="B28" s="7"/>
      <c r="C28" s="4"/>
      <c r="D28" s="8"/>
      <c r="E28" s="12"/>
      <c r="F28" s="12"/>
      <c r="G28" s="12"/>
      <c r="H28" s="13">
        <f t="shared" si="0"/>
        <v>1400</v>
      </c>
    </row>
    <row r="29" spans="1:8">
      <c r="A29" s="7"/>
      <c r="B29" s="7"/>
      <c r="C29" s="4"/>
      <c r="D29" s="8"/>
      <c r="E29" s="12"/>
      <c r="F29" s="12"/>
      <c r="G29" s="12"/>
      <c r="H29" s="13">
        <f t="shared" si="0"/>
        <v>1400</v>
      </c>
    </row>
    <row r="30" spans="1:8">
      <c r="A30" s="7"/>
      <c r="B30" s="7"/>
      <c r="C30" s="4"/>
      <c r="D30" s="8"/>
      <c r="E30" s="12"/>
      <c r="F30" s="12"/>
      <c r="G30" s="12"/>
      <c r="H30" s="13">
        <f t="shared" si="0"/>
        <v>1400</v>
      </c>
    </row>
    <row r="31" spans="1:8">
      <c r="A31" s="7"/>
      <c r="B31" s="7"/>
      <c r="C31" s="4"/>
      <c r="D31" s="8"/>
      <c r="E31" s="12"/>
      <c r="F31" s="12"/>
      <c r="G31" s="12"/>
      <c r="H31" s="13">
        <f t="shared" si="0"/>
        <v>1400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كود غير صحيح" error="الكود غير موجود في شيت المخزن - أضفه هناك أولاً" xr:uid="{00000000-0002-0000-1500-000000000000}">
          <x14:formula1>
            <xm:f>المخزن!$A$3:$A$43</xm:f>
          </x14:formula1>
          <x14:formula2>
            <xm:f>0</xm:f>
          </x14:formula2>
          <xm:sqref>C3:C31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24"/>
  <sheetViews>
    <sheetView rightToLeft="1" zoomScaleNormal="100" workbookViewId="0">
      <pane ySplit="2" topLeftCell="A3" activePane="bottomLeft" state="frozen"/>
      <selection pane="bottomLeft" sqref="A1:H1"/>
    </sheetView>
  </sheetViews>
  <sheetFormatPr defaultColWidth="8.6640625" defaultRowHeight="14.4"/>
  <cols>
    <col min="1" max="1" width="12" customWidth="1"/>
    <col min="2" max="2" width="30" customWidth="1"/>
    <col min="3" max="3" width="10" customWidth="1"/>
    <col min="4" max="4" width="8" customWidth="1"/>
    <col min="5" max="5" width="10" customWidth="1"/>
    <col min="6" max="8" width="12" customWidth="1"/>
  </cols>
  <sheetData>
    <row r="1" spans="1:8" ht="17.399999999999999" customHeight="1">
      <c r="A1" s="2" t="s">
        <v>304</v>
      </c>
      <c r="B1" s="2"/>
      <c r="C1" s="2"/>
      <c r="D1" s="2"/>
      <c r="E1" s="2"/>
      <c r="F1" s="2"/>
      <c r="G1" s="2"/>
      <c r="H1" s="2"/>
    </row>
    <row r="2" spans="1:8">
      <c r="A2" s="3" t="s">
        <v>125</v>
      </c>
      <c r="B2" s="3" t="s">
        <v>126</v>
      </c>
      <c r="C2" s="3" t="s">
        <v>1</v>
      </c>
      <c r="D2" s="3" t="s">
        <v>127</v>
      </c>
      <c r="E2" s="3" t="s">
        <v>128</v>
      </c>
      <c r="F2" s="3" t="s">
        <v>129</v>
      </c>
      <c r="G2" s="3" t="s">
        <v>130</v>
      </c>
      <c r="H2" s="3" t="s">
        <v>131</v>
      </c>
    </row>
    <row r="3" spans="1:8">
      <c r="A3" s="11">
        <v>46334</v>
      </c>
      <c r="B3" s="7" t="s">
        <v>305</v>
      </c>
      <c r="C3" s="4" t="s">
        <v>93</v>
      </c>
      <c r="D3" s="8">
        <v>4</v>
      </c>
      <c r="E3" s="12">
        <v>350</v>
      </c>
      <c r="F3" s="12">
        <v>1400</v>
      </c>
      <c r="G3" s="12"/>
      <c r="H3" s="13">
        <f>IF(AND($B3="",$C3="",$F3="",$G3=""),0,0+IF($F3="",0,$F3)-IF($G3="",0,$G3))</f>
        <v>1400</v>
      </c>
    </row>
    <row r="4" spans="1:8">
      <c r="A4" s="11">
        <v>46334</v>
      </c>
      <c r="B4" s="7"/>
      <c r="C4" s="4"/>
      <c r="D4" s="8"/>
      <c r="E4" s="12"/>
      <c r="F4" s="12"/>
      <c r="G4" s="12">
        <v>1400</v>
      </c>
      <c r="H4" s="13">
        <f t="shared" ref="H4:H24" si="0">IF(AND($B4="",$C4="",$F4="",$G4=""),$H3,$H3+IF($F4="",0,$F4)-IF($G4="",0,$G4))</f>
        <v>0</v>
      </c>
    </row>
    <row r="5" spans="1:8">
      <c r="A5" s="7"/>
      <c r="B5" s="7"/>
      <c r="C5" s="4"/>
      <c r="D5" s="8"/>
      <c r="E5" s="12"/>
      <c r="F5" s="12"/>
      <c r="G5" s="12"/>
      <c r="H5" s="13">
        <f t="shared" si="0"/>
        <v>0</v>
      </c>
    </row>
    <row r="6" spans="1:8">
      <c r="A6" s="7"/>
      <c r="B6" s="7"/>
      <c r="C6" s="4"/>
      <c r="D6" s="8"/>
      <c r="E6" s="12"/>
      <c r="F6" s="12"/>
      <c r="G6" s="12"/>
      <c r="H6" s="13">
        <f t="shared" si="0"/>
        <v>0</v>
      </c>
    </row>
    <row r="7" spans="1:8">
      <c r="A7" s="7"/>
      <c r="B7" s="7"/>
      <c r="C7" s="4"/>
      <c r="D7" s="8"/>
      <c r="E7" s="12"/>
      <c r="F7" s="12"/>
      <c r="G7" s="12"/>
      <c r="H7" s="13">
        <f t="shared" si="0"/>
        <v>0</v>
      </c>
    </row>
    <row r="8" spans="1:8">
      <c r="A8" s="7"/>
      <c r="B8" s="7"/>
      <c r="C8" s="4"/>
      <c r="D8" s="8"/>
      <c r="E8" s="12"/>
      <c r="F8" s="12"/>
      <c r="G8" s="12"/>
      <c r="H8" s="13">
        <f t="shared" si="0"/>
        <v>0</v>
      </c>
    </row>
    <row r="9" spans="1:8">
      <c r="A9" s="7"/>
      <c r="B9" s="7"/>
      <c r="C9" s="4"/>
      <c r="D9" s="8"/>
      <c r="E9" s="12"/>
      <c r="F9" s="12"/>
      <c r="G9" s="12"/>
      <c r="H9" s="13">
        <f t="shared" si="0"/>
        <v>0</v>
      </c>
    </row>
    <row r="10" spans="1:8">
      <c r="A10" s="7"/>
      <c r="B10" s="7"/>
      <c r="C10" s="4"/>
      <c r="D10" s="8"/>
      <c r="E10" s="12"/>
      <c r="F10" s="12"/>
      <c r="G10" s="12"/>
      <c r="H10" s="13">
        <f t="shared" si="0"/>
        <v>0</v>
      </c>
    </row>
    <row r="11" spans="1:8">
      <c r="A11" s="7"/>
      <c r="B11" s="7"/>
      <c r="C11" s="4"/>
      <c r="D11" s="8"/>
      <c r="E11" s="12"/>
      <c r="F11" s="12"/>
      <c r="G11" s="12"/>
      <c r="H11" s="13">
        <f t="shared" si="0"/>
        <v>0</v>
      </c>
    </row>
    <row r="12" spans="1:8">
      <c r="A12" s="7"/>
      <c r="B12" s="7"/>
      <c r="C12" s="4"/>
      <c r="D12" s="8"/>
      <c r="E12" s="12"/>
      <c r="F12" s="12"/>
      <c r="G12" s="12"/>
      <c r="H12" s="13">
        <f t="shared" si="0"/>
        <v>0</v>
      </c>
    </row>
    <row r="13" spans="1:8">
      <c r="A13" s="7"/>
      <c r="B13" s="7"/>
      <c r="C13" s="4"/>
      <c r="D13" s="8"/>
      <c r="E13" s="12"/>
      <c r="F13" s="12"/>
      <c r="G13" s="12"/>
      <c r="H13" s="13">
        <f t="shared" si="0"/>
        <v>0</v>
      </c>
    </row>
    <row r="14" spans="1:8">
      <c r="A14" s="7"/>
      <c r="B14" s="7"/>
      <c r="C14" s="4"/>
      <c r="D14" s="8"/>
      <c r="E14" s="12"/>
      <c r="F14" s="12"/>
      <c r="G14" s="12"/>
      <c r="H14" s="13">
        <f t="shared" si="0"/>
        <v>0</v>
      </c>
    </row>
    <row r="15" spans="1:8">
      <c r="A15" s="7"/>
      <c r="B15" s="7"/>
      <c r="C15" s="4"/>
      <c r="D15" s="8"/>
      <c r="E15" s="12"/>
      <c r="F15" s="12"/>
      <c r="G15" s="12"/>
      <c r="H15" s="13">
        <f t="shared" si="0"/>
        <v>0</v>
      </c>
    </row>
    <row r="16" spans="1:8">
      <c r="A16" s="7"/>
      <c r="B16" s="7"/>
      <c r="C16" s="4"/>
      <c r="D16" s="8"/>
      <c r="E16" s="12"/>
      <c r="F16" s="12"/>
      <c r="G16" s="12"/>
      <c r="H16" s="13">
        <f t="shared" si="0"/>
        <v>0</v>
      </c>
    </row>
    <row r="17" spans="1:8">
      <c r="A17" s="7"/>
      <c r="B17" s="7"/>
      <c r="C17" s="4"/>
      <c r="D17" s="8"/>
      <c r="E17" s="12"/>
      <c r="F17" s="12"/>
      <c r="G17" s="12"/>
      <c r="H17" s="13">
        <f t="shared" si="0"/>
        <v>0</v>
      </c>
    </row>
    <row r="18" spans="1:8">
      <c r="A18" s="7"/>
      <c r="B18" s="7"/>
      <c r="C18" s="4"/>
      <c r="D18" s="8"/>
      <c r="E18" s="12"/>
      <c r="F18" s="12"/>
      <c r="G18" s="12"/>
      <c r="H18" s="13">
        <f t="shared" si="0"/>
        <v>0</v>
      </c>
    </row>
    <row r="19" spans="1:8">
      <c r="A19" s="7"/>
      <c r="B19" s="7"/>
      <c r="C19" s="4"/>
      <c r="D19" s="8"/>
      <c r="E19" s="12"/>
      <c r="F19" s="12"/>
      <c r="G19" s="12"/>
      <c r="H19" s="13">
        <f t="shared" si="0"/>
        <v>0</v>
      </c>
    </row>
    <row r="20" spans="1:8">
      <c r="A20" s="7"/>
      <c r="B20" s="7"/>
      <c r="C20" s="4"/>
      <c r="D20" s="8"/>
      <c r="E20" s="12"/>
      <c r="F20" s="12"/>
      <c r="G20" s="12"/>
      <c r="H20" s="13">
        <f t="shared" si="0"/>
        <v>0</v>
      </c>
    </row>
    <row r="21" spans="1:8">
      <c r="A21" s="7"/>
      <c r="B21" s="7"/>
      <c r="C21" s="4"/>
      <c r="D21" s="8"/>
      <c r="E21" s="12"/>
      <c r="F21" s="12"/>
      <c r="G21" s="12"/>
      <c r="H21" s="13">
        <f t="shared" si="0"/>
        <v>0</v>
      </c>
    </row>
    <row r="22" spans="1:8">
      <c r="A22" s="7"/>
      <c r="B22" s="7"/>
      <c r="C22" s="4"/>
      <c r="D22" s="8"/>
      <c r="E22" s="12"/>
      <c r="F22" s="12"/>
      <c r="G22" s="12"/>
      <c r="H22" s="13">
        <f t="shared" si="0"/>
        <v>0</v>
      </c>
    </row>
    <row r="23" spans="1:8">
      <c r="A23" s="7"/>
      <c r="B23" s="7"/>
      <c r="C23" s="4"/>
      <c r="D23" s="8"/>
      <c r="E23" s="12"/>
      <c r="F23" s="12"/>
      <c r="G23" s="12"/>
      <c r="H23" s="13">
        <f t="shared" si="0"/>
        <v>0</v>
      </c>
    </row>
    <row r="24" spans="1:8">
      <c r="A24" s="7"/>
      <c r="B24" s="7"/>
      <c r="C24" s="4"/>
      <c r="D24" s="8"/>
      <c r="E24" s="12"/>
      <c r="F24" s="12"/>
      <c r="G24" s="12"/>
      <c r="H24" s="13">
        <f t="shared" si="0"/>
        <v>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كود غير صحيح" error="الكود غير موجود في شيت المخزن - أضفه هناك أولاً" xr:uid="{00000000-0002-0000-1600-000000000000}">
          <x14:formula1>
            <xm:f>المخزن!$A$3:$A$43</xm:f>
          </x14:formula1>
          <x14:formula2>
            <xm:f>0</xm:f>
          </x14:formula2>
          <xm:sqref>C3:C24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24"/>
  <sheetViews>
    <sheetView rightToLeft="1" zoomScaleNormal="100" workbookViewId="0">
      <pane ySplit="2" topLeftCell="A3" activePane="bottomLeft" state="frozen"/>
      <selection pane="bottomLeft" activeCell="A3" sqref="A3"/>
    </sheetView>
  </sheetViews>
  <sheetFormatPr defaultColWidth="8.6640625" defaultRowHeight="14.4"/>
  <cols>
    <col min="1" max="1" width="12" customWidth="1"/>
    <col min="2" max="2" width="30" customWidth="1"/>
    <col min="3" max="3" width="10" customWidth="1"/>
    <col min="4" max="4" width="8" customWidth="1"/>
    <col min="5" max="5" width="10" customWidth="1"/>
    <col min="6" max="8" width="12" customWidth="1"/>
  </cols>
  <sheetData>
    <row r="1" spans="1:8" ht="17.399999999999999" customHeight="1">
      <c r="A1" s="2" t="s">
        <v>306</v>
      </c>
      <c r="B1" s="2"/>
      <c r="C1" s="2"/>
      <c r="D1" s="2"/>
      <c r="E1" s="2"/>
      <c r="F1" s="2"/>
      <c r="G1" s="2"/>
      <c r="H1" s="2"/>
    </row>
    <row r="2" spans="1:8">
      <c r="A2" s="3" t="s">
        <v>125</v>
      </c>
      <c r="B2" s="3" t="s">
        <v>126</v>
      </c>
      <c r="C2" s="3" t="s">
        <v>1</v>
      </c>
      <c r="D2" s="3" t="s">
        <v>127</v>
      </c>
      <c r="E2" s="3" t="s">
        <v>128</v>
      </c>
      <c r="F2" s="3" t="s">
        <v>129</v>
      </c>
      <c r="G2" s="3" t="s">
        <v>130</v>
      </c>
      <c r="H2" s="3" t="s">
        <v>131</v>
      </c>
    </row>
    <row r="3" spans="1:8">
      <c r="A3" s="11">
        <v>46360</v>
      </c>
      <c r="B3" s="7" t="s">
        <v>307</v>
      </c>
      <c r="C3" s="4"/>
      <c r="D3" s="8"/>
      <c r="E3" s="12"/>
      <c r="F3" s="12">
        <v>31755</v>
      </c>
      <c r="G3" s="12">
        <v>30000</v>
      </c>
      <c r="H3" s="13">
        <f>IF(AND($B3="",$C3="",$F3="",$G3=""),0,0+IF($F3="",0,$F3)-IF($G3="",0,$G3))</f>
        <v>1755</v>
      </c>
    </row>
    <row r="4" spans="1:8">
      <c r="A4" s="11">
        <v>46360</v>
      </c>
      <c r="B4" s="7" t="s">
        <v>308</v>
      </c>
      <c r="C4" s="4"/>
      <c r="D4" s="8"/>
      <c r="E4" s="12"/>
      <c r="F4" s="12"/>
      <c r="G4" s="12">
        <v>1755</v>
      </c>
      <c r="H4" s="13">
        <f t="shared" ref="H4:H24" si="0">IF(AND($B4="",$C4="",$F4="",$G4=""),$H3,$H3+IF($F4="",0,$F4)-IF($G4="",0,$G4))</f>
        <v>0</v>
      </c>
    </row>
    <row r="5" spans="1:8">
      <c r="A5" s="7"/>
      <c r="B5" s="7"/>
      <c r="C5" s="4"/>
      <c r="D5" s="8"/>
      <c r="E5" s="12"/>
      <c r="F5" s="12"/>
      <c r="G5" s="12"/>
      <c r="H5" s="13">
        <f t="shared" si="0"/>
        <v>0</v>
      </c>
    </row>
    <row r="6" spans="1:8">
      <c r="A6" s="7"/>
      <c r="B6" s="7"/>
      <c r="C6" s="4"/>
      <c r="D6" s="8"/>
      <c r="E6" s="12"/>
      <c r="F6" s="12"/>
      <c r="G6" s="12"/>
      <c r="H6" s="13">
        <f t="shared" si="0"/>
        <v>0</v>
      </c>
    </row>
    <row r="7" spans="1:8">
      <c r="A7" s="7"/>
      <c r="B7" s="7"/>
      <c r="C7" s="4"/>
      <c r="D7" s="8"/>
      <c r="E7" s="12"/>
      <c r="F7" s="12"/>
      <c r="G7" s="12"/>
      <c r="H7" s="13">
        <f t="shared" si="0"/>
        <v>0</v>
      </c>
    </row>
    <row r="8" spans="1:8">
      <c r="A8" s="7"/>
      <c r="B8" s="7"/>
      <c r="C8" s="4"/>
      <c r="D8" s="8"/>
      <c r="E8" s="12"/>
      <c r="F8" s="12"/>
      <c r="G8" s="12"/>
      <c r="H8" s="13">
        <f t="shared" si="0"/>
        <v>0</v>
      </c>
    </row>
    <row r="9" spans="1:8">
      <c r="A9" s="7"/>
      <c r="B9" s="7"/>
      <c r="C9" s="4"/>
      <c r="D9" s="8"/>
      <c r="E9" s="12"/>
      <c r="F9" s="12"/>
      <c r="G9" s="12"/>
      <c r="H9" s="13">
        <f t="shared" si="0"/>
        <v>0</v>
      </c>
    </row>
    <row r="10" spans="1:8">
      <c r="A10" s="7"/>
      <c r="B10" s="7"/>
      <c r="C10" s="4"/>
      <c r="D10" s="8"/>
      <c r="E10" s="12"/>
      <c r="F10" s="12"/>
      <c r="G10" s="12"/>
      <c r="H10" s="13">
        <f t="shared" si="0"/>
        <v>0</v>
      </c>
    </row>
    <row r="11" spans="1:8">
      <c r="A11" s="7"/>
      <c r="B11" s="7"/>
      <c r="C11" s="4"/>
      <c r="D11" s="8"/>
      <c r="E11" s="12"/>
      <c r="F11" s="12"/>
      <c r="G11" s="12"/>
      <c r="H11" s="13">
        <f t="shared" si="0"/>
        <v>0</v>
      </c>
    </row>
    <row r="12" spans="1:8">
      <c r="A12" s="7"/>
      <c r="B12" s="7"/>
      <c r="C12" s="4"/>
      <c r="D12" s="8"/>
      <c r="E12" s="12"/>
      <c r="F12" s="12"/>
      <c r="G12" s="12"/>
      <c r="H12" s="13">
        <f t="shared" si="0"/>
        <v>0</v>
      </c>
    </row>
    <row r="13" spans="1:8">
      <c r="A13" s="7"/>
      <c r="B13" s="7"/>
      <c r="C13" s="4"/>
      <c r="D13" s="8"/>
      <c r="E13" s="12"/>
      <c r="F13" s="12"/>
      <c r="G13" s="12"/>
      <c r="H13" s="13">
        <f t="shared" si="0"/>
        <v>0</v>
      </c>
    </row>
    <row r="14" spans="1:8">
      <c r="A14" s="7"/>
      <c r="B14" s="7"/>
      <c r="C14" s="4"/>
      <c r="D14" s="8"/>
      <c r="E14" s="12"/>
      <c r="F14" s="12"/>
      <c r="G14" s="12"/>
      <c r="H14" s="13">
        <f t="shared" si="0"/>
        <v>0</v>
      </c>
    </row>
    <row r="15" spans="1:8">
      <c r="A15" s="7"/>
      <c r="B15" s="7"/>
      <c r="C15" s="4"/>
      <c r="D15" s="8"/>
      <c r="E15" s="12"/>
      <c r="F15" s="12"/>
      <c r="G15" s="12"/>
      <c r="H15" s="13">
        <f t="shared" si="0"/>
        <v>0</v>
      </c>
    </row>
    <row r="16" spans="1:8">
      <c r="A16" s="7"/>
      <c r="B16" s="7"/>
      <c r="C16" s="4"/>
      <c r="D16" s="8"/>
      <c r="E16" s="12"/>
      <c r="F16" s="12"/>
      <c r="G16" s="12"/>
      <c r="H16" s="13">
        <f t="shared" si="0"/>
        <v>0</v>
      </c>
    </row>
    <row r="17" spans="1:8">
      <c r="A17" s="7"/>
      <c r="B17" s="7"/>
      <c r="C17" s="4"/>
      <c r="D17" s="8"/>
      <c r="E17" s="12"/>
      <c r="F17" s="12"/>
      <c r="G17" s="12"/>
      <c r="H17" s="13">
        <f t="shared" si="0"/>
        <v>0</v>
      </c>
    </row>
    <row r="18" spans="1:8">
      <c r="A18" s="7"/>
      <c r="B18" s="7"/>
      <c r="C18" s="4"/>
      <c r="D18" s="8"/>
      <c r="E18" s="12"/>
      <c r="F18" s="12"/>
      <c r="G18" s="12"/>
      <c r="H18" s="13">
        <f t="shared" si="0"/>
        <v>0</v>
      </c>
    </row>
    <row r="19" spans="1:8">
      <c r="A19" s="7"/>
      <c r="B19" s="7"/>
      <c r="C19" s="4"/>
      <c r="D19" s="8"/>
      <c r="E19" s="12"/>
      <c r="F19" s="12"/>
      <c r="G19" s="12"/>
      <c r="H19" s="13">
        <f t="shared" si="0"/>
        <v>0</v>
      </c>
    </row>
    <row r="20" spans="1:8">
      <c r="A20" s="7"/>
      <c r="B20" s="7"/>
      <c r="C20" s="4"/>
      <c r="D20" s="8"/>
      <c r="E20" s="12"/>
      <c r="F20" s="12"/>
      <c r="G20" s="12"/>
      <c r="H20" s="13">
        <f t="shared" si="0"/>
        <v>0</v>
      </c>
    </row>
    <row r="21" spans="1:8">
      <c r="A21" s="7"/>
      <c r="B21" s="7"/>
      <c r="C21" s="4"/>
      <c r="D21" s="8"/>
      <c r="E21" s="12"/>
      <c r="F21" s="12"/>
      <c r="G21" s="12"/>
      <c r="H21" s="13">
        <f t="shared" si="0"/>
        <v>0</v>
      </c>
    </row>
    <row r="22" spans="1:8">
      <c r="A22" s="7"/>
      <c r="B22" s="7"/>
      <c r="C22" s="4"/>
      <c r="D22" s="8"/>
      <c r="E22" s="12"/>
      <c r="F22" s="12"/>
      <c r="G22" s="12"/>
      <c r="H22" s="13">
        <f t="shared" si="0"/>
        <v>0</v>
      </c>
    </row>
    <row r="23" spans="1:8">
      <c r="A23" s="7"/>
      <c r="B23" s="7"/>
      <c r="C23" s="4"/>
      <c r="D23" s="8"/>
      <c r="E23" s="12"/>
      <c r="F23" s="12"/>
      <c r="G23" s="12"/>
      <c r="H23" s="13">
        <f t="shared" si="0"/>
        <v>0</v>
      </c>
    </row>
    <row r="24" spans="1:8">
      <c r="A24" s="7"/>
      <c r="B24" s="7"/>
      <c r="C24" s="4"/>
      <c r="D24" s="8"/>
      <c r="E24" s="12"/>
      <c r="F24" s="12"/>
      <c r="G24" s="12"/>
      <c r="H24" s="13">
        <f t="shared" si="0"/>
        <v>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كود غير صحيح" error="الكود غير موجود في شيت المخزن - أضفه هناك أولاً" xr:uid="{00000000-0002-0000-1700-000000000000}">
          <x14:formula1>
            <xm:f>المخزن!$A$3:$A$43</xm:f>
          </x14:formula1>
          <x14:formula2>
            <xm:f>0</xm:f>
          </x14:formula2>
          <xm:sqref>C3:C24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4"/>
  <sheetViews>
    <sheetView rightToLeft="1" zoomScaleNormal="100" workbookViewId="0">
      <pane ySplit="2" topLeftCell="A3" activePane="bottomLeft" state="frozen"/>
      <selection pane="bottomLeft"/>
    </sheetView>
  </sheetViews>
  <sheetFormatPr defaultColWidth="8.6640625" defaultRowHeight="14.4"/>
  <cols>
    <col min="1" max="1" width="12" customWidth="1"/>
    <col min="2" max="2" width="30" customWidth="1"/>
    <col min="3" max="3" width="10" customWidth="1"/>
    <col min="4" max="4" width="8" customWidth="1"/>
    <col min="5" max="5" width="10" customWidth="1"/>
    <col min="6" max="8" width="12" customWidth="1"/>
  </cols>
  <sheetData>
    <row r="1" spans="1:8" ht="17.399999999999999" customHeight="1">
      <c r="A1" s="2" t="s">
        <v>309</v>
      </c>
      <c r="B1" s="2"/>
      <c r="C1" s="2"/>
      <c r="D1" s="2"/>
      <c r="E1" s="2"/>
      <c r="F1" s="2"/>
      <c r="G1" s="2"/>
      <c r="H1" s="2"/>
    </row>
    <row r="2" spans="1:8">
      <c r="A2" s="3" t="s">
        <v>125</v>
      </c>
      <c r="B2" s="3" t="s">
        <v>126</v>
      </c>
      <c r="C2" s="3" t="s">
        <v>1</v>
      </c>
      <c r="D2" s="3" t="s">
        <v>127</v>
      </c>
      <c r="E2" s="3" t="s">
        <v>128</v>
      </c>
      <c r="F2" s="3" t="s">
        <v>129</v>
      </c>
      <c r="G2" s="3" t="s">
        <v>130</v>
      </c>
      <c r="H2" s="3" t="s">
        <v>131</v>
      </c>
    </row>
    <row r="3" spans="1:8">
      <c r="A3" s="7" t="s">
        <v>135</v>
      </c>
      <c r="B3" s="7" t="s">
        <v>310</v>
      </c>
      <c r="C3" s="4"/>
      <c r="D3" s="8">
        <v>16</v>
      </c>
      <c r="E3" s="12">
        <v>180</v>
      </c>
      <c r="F3" s="12">
        <v>2880</v>
      </c>
      <c r="G3" s="12"/>
      <c r="H3" s="13">
        <f>IF(AND($B3="",$C3="",$F3="",$G3=""),0,0+IF($F3="",0,$F3)-IF($G3="",0,$G3))</f>
        <v>2880</v>
      </c>
    </row>
    <row r="4" spans="1:8">
      <c r="A4" s="7" t="s">
        <v>135</v>
      </c>
      <c r="B4" s="7"/>
      <c r="C4" s="4"/>
      <c r="D4" s="8"/>
      <c r="E4" s="12"/>
      <c r="F4" s="12"/>
      <c r="G4" s="12">
        <v>2880</v>
      </c>
      <c r="H4" s="13">
        <f t="shared" ref="H4:H24" si="0">IF(AND($B4="",$C4="",$F4="",$G4=""),$H3,$H3+IF($F4="",0,$F4)-IF($G4="",0,$G4))</f>
        <v>0</v>
      </c>
    </row>
    <row r="5" spans="1:8">
      <c r="A5" s="7"/>
      <c r="B5" s="7"/>
      <c r="C5" s="4"/>
      <c r="D5" s="8"/>
      <c r="E5" s="12"/>
      <c r="F5" s="12"/>
      <c r="G5" s="12"/>
      <c r="H5" s="13">
        <f t="shared" si="0"/>
        <v>0</v>
      </c>
    </row>
    <row r="6" spans="1:8">
      <c r="A6" s="7"/>
      <c r="B6" s="7"/>
      <c r="C6" s="4"/>
      <c r="D6" s="8"/>
      <c r="E6" s="12"/>
      <c r="F6" s="12"/>
      <c r="G6" s="12"/>
      <c r="H6" s="13">
        <f t="shared" si="0"/>
        <v>0</v>
      </c>
    </row>
    <row r="7" spans="1:8">
      <c r="A7" s="7"/>
      <c r="B7" s="7"/>
      <c r="C7" s="4"/>
      <c r="D7" s="8"/>
      <c r="E7" s="12"/>
      <c r="F7" s="12"/>
      <c r="G7" s="12"/>
      <c r="H7" s="13">
        <f t="shared" si="0"/>
        <v>0</v>
      </c>
    </row>
    <row r="8" spans="1:8">
      <c r="A8" s="7"/>
      <c r="B8" s="7"/>
      <c r="C8" s="4"/>
      <c r="D8" s="8"/>
      <c r="E8" s="12"/>
      <c r="F8" s="12"/>
      <c r="G8" s="12"/>
      <c r="H8" s="13">
        <f t="shared" si="0"/>
        <v>0</v>
      </c>
    </row>
    <row r="9" spans="1:8">
      <c r="A9" s="7"/>
      <c r="B9" s="7"/>
      <c r="C9" s="4"/>
      <c r="D9" s="8"/>
      <c r="E9" s="12"/>
      <c r="F9" s="12"/>
      <c r="G9" s="12"/>
      <c r="H9" s="13">
        <f t="shared" si="0"/>
        <v>0</v>
      </c>
    </row>
    <row r="10" spans="1:8">
      <c r="A10" s="7"/>
      <c r="B10" s="7"/>
      <c r="C10" s="4"/>
      <c r="D10" s="8"/>
      <c r="E10" s="12"/>
      <c r="F10" s="12"/>
      <c r="G10" s="12"/>
      <c r="H10" s="13">
        <f t="shared" si="0"/>
        <v>0</v>
      </c>
    </row>
    <row r="11" spans="1:8">
      <c r="A11" s="7"/>
      <c r="B11" s="7"/>
      <c r="C11" s="4"/>
      <c r="D11" s="8"/>
      <c r="E11" s="12"/>
      <c r="F11" s="12"/>
      <c r="G11" s="12"/>
      <c r="H11" s="13">
        <f t="shared" si="0"/>
        <v>0</v>
      </c>
    </row>
    <row r="12" spans="1:8">
      <c r="A12" s="7"/>
      <c r="B12" s="7"/>
      <c r="C12" s="4"/>
      <c r="D12" s="8"/>
      <c r="E12" s="12"/>
      <c r="F12" s="12"/>
      <c r="G12" s="12"/>
      <c r="H12" s="13">
        <f t="shared" si="0"/>
        <v>0</v>
      </c>
    </row>
    <row r="13" spans="1:8">
      <c r="A13" s="7"/>
      <c r="B13" s="7"/>
      <c r="C13" s="4"/>
      <c r="D13" s="8"/>
      <c r="E13" s="12"/>
      <c r="F13" s="12"/>
      <c r="G13" s="12"/>
      <c r="H13" s="13">
        <f t="shared" si="0"/>
        <v>0</v>
      </c>
    </row>
    <row r="14" spans="1:8">
      <c r="A14" s="7"/>
      <c r="B14" s="7"/>
      <c r="C14" s="4"/>
      <c r="D14" s="8"/>
      <c r="E14" s="12"/>
      <c r="F14" s="12"/>
      <c r="G14" s="12"/>
      <c r="H14" s="13">
        <f t="shared" si="0"/>
        <v>0</v>
      </c>
    </row>
    <row r="15" spans="1:8">
      <c r="A15" s="7"/>
      <c r="B15" s="7"/>
      <c r="C15" s="4"/>
      <c r="D15" s="8"/>
      <c r="E15" s="12"/>
      <c r="F15" s="12"/>
      <c r="G15" s="12"/>
      <c r="H15" s="13">
        <f t="shared" si="0"/>
        <v>0</v>
      </c>
    </row>
    <row r="16" spans="1:8">
      <c r="A16" s="7"/>
      <c r="B16" s="7"/>
      <c r="C16" s="4"/>
      <c r="D16" s="8"/>
      <c r="E16" s="12"/>
      <c r="F16" s="12"/>
      <c r="G16" s="12"/>
      <c r="H16" s="13">
        <f t="shared" si="0"/>
        <v>0</v>
      </c>
    </row>
    <row r="17" spans="1:8">
      <c r="A17" s="7"/>
      <c r="B17" s="7"/>
      <c r="C17" s="4"/>
      <c r="D17" s="8"/>
      <c r="E17" s="12"/>
      <c r="F17" s="12"/>
      <c r="G17" s="12"/>
      <c r="H17" s="13">
        <f t="shared" si="0"/>
        <v>0</v>
      </c>
    </row>
    <row r="18" spans="1:8">
      <c r="A18" s="7"/>
      <c r="B18" s="7"/>
      <c r="C18" s="4"/>
      <c r="D18" s="8"/>
      <c r="E18" s="12"/>
      <c r="F18" s="12"/>
      <c r="G18" s="12"/>
      <c r="H18" s="13">
        <f t="shared" si="0"/>
        <v>0</v>
      </c>
    </row>
    <row r="19" spans="1:8">
      <c r="A19" s="7"/>
      <c r="B19" s="7"/>
      <c r="C19" s="4"/>
      <c r="D19" s="8"/>
      <c r="E19" s="12"/>
      <c r="F19" s="12"/>
      <c r="G19" s="12"/>
      <c r="H19" s="13">
        <f t="shared" si="0"/>
        <v>0</v>
      </c>
    </row>
    <row r="20" spans="1:8">
      <c r="A20" s="7"/>
      <c r="B20" s="7"/>
      <c r="C20" s="4"/>
      <c r="D20" s="8"/>
      <c r="E20" s="12"/>
      <c r="F20" s="12"/>
      <c r="G20" s="12"/>
      <c r="H20" s="13">
        <f t="shared" si="0"/>
        <v>0</v>
      </c>
    </row>
    <row r="21" spans="1:8">
      <c r="A21" s="7"/>
      <c r="B21" s="7"/>
      <c r="C21" s="4"/>
      <c r="D21" s="8"/>
      <c r="E21" s="12"/>
      <c r="F21" s="12"/>
      <c r="G21" s="12"/>
      <c r="H21" s="13">
        <f t="shared" si="0"/>
        <v>0</v>
      </c>
    </row>
    <row r="22" spans="1:8">
      <c r="A22" s="7"/>
      <c r="B22" s="7"/>
      <c r="C22" s="4"/>
      <c r="D22" s="8"/>
      <c r="E22" s="12"/>
      <c r="F22" s="12"/>
      <c r="G22" s="12"/>
      <c r="H22" s="13">
        <f t="shared" si="0"/>
        <v>0</v>
      </c>
    </row>
    <row r="23" spans="1:8">
      <c r="A23" s="7"/>
      <c r="B23" s="7"/>
      <c r="C23" s="4"/>
      <c r="D23" s="8"/>
      <c r="E23" s="12"/>
      <c r="F23" s="12"/>
      <c r="G23" s="12"/>
      <c r="H23" s="13">
        <f t="shared" si="0"/>
        <v>0</v>
      </c>
    </row>
    <row r="24" spans="1:8">
      <c r="A24" s="7"/>
      <c r="B24" s="7"/>
      <c r="C24" s="4"/>
      <c r="D24" s="8"/>
      <c r="E24" s="12"/>
      <c r="F24" s="12"/>
      <c r="G24" s="12"/>
      <c r="H24" s="13">
        <f t="shared" si="0"/>
        <v>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كود غير صحيح" error="الكود غير موجود في شيت المخزن - أضفه هناك أولاً" xr:uid="{00000000-0002-0000-1800-000000000000}">
          <x14:formula1>
            <xm:f>المخزن!$A$3:$A$43</xm:f>
          </x14:formula1>
          <x14:formula2>
            <xm:f>0</xm:f>
          </x14:formula2>
          <xm:sqref>C3:C24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46"/>
  <sheetViews>
    <sheetView rightToLeft="1" zoomScaleNormal="100" workbookViewId="0">
      <pane ySplit="2" topLeftCell="A3" activePane="bottomLeft" state="frozen"/>
      <selection pane="bottomLeft" sqref="A1:H1"/>
    </sheetView>
  </sheetViews>
  <sheetFormatPr defaultColWidth="8.6640625" defaultRowHeight="14.4"/>
  <cols>
    <col min="1" max="1" width="12" customWidth="1"/>
    <col min="2" max="2" width="30" customWidth="1"/>
    <col min="3" max="3" width="10" customWidth="1"/>
    <col min="4" max="4" width="8" customWidth="1"/>
    <col min="5" max="5" width="10" customWidth="1"/>
    <col min="6" max="8" width="12" customWidth="1"/>
  </cols>
  <sheetData>
    <row r="1" spans="1:8" ht="17.399999999999999" customHeight="1">
      <c r="A1" s="2" t="s">
        <v>311</v>
      </c>
      <c r="B1" s="2"/>
      <c r="C1" s="2"/>
      <c r="D1" s="2"/>
      <c r="E1" s="2"/>
      <c r="F1" s="2"/>
      <c r="G1" s="2"/>
      <c r="H1" s="2"/>
    </row>
    <row r="2" spans="1:8">
      <c r="A2" s="3" t="s">
        <v>125</v>
      </c>
      <c r="B2" s="3" t="s">
        <v>126</v>
      </c>
      <c r="C2" s="3" t="s">
        <v>1</v>
      </c>
      <c r="D2" s="3" t="s">
        <v>127</v>
      </c>
      <c r="E2" s="3" t="s">
        <v>128</v>
      </c>
      <c r="F2" s="3" t="s">
        <v>129</v>
      </c>
      <c r="G2" s="3" t="s">
        <v>130</v>
      </c>
      <c r="H2" s="3" t="s">
        <v>131</v>
      </c>
    </row>
    <row r="3" spans="1:8">
      <c r="A3" s="11">
        <v>46239</v>
      </c>
      <c r="B3" s="7" t="s">
        <v>139</v>
      </c>
      <c r="C3" s="4" t="s">
        <v>37</v>
      </c>
      <c r="D3" s="8">
        <v>8</v>
      </c>
      <c r="E3" s="12">
        <v>320</v>
      </c>
      <c r="F3" s="12">
        <v>2560</v>
      </c>
      <c r="G3" s="12"/>
      <c r="H3" s="13">
        <f>IF(AND($B3="",$C3="",$F3="",$G3=""),0,0+IF($F3="",0,$F3)-IF($G3="",0,$G3))</f>
        <v>2560</v>
      </c>
    </row>
    <row r="4" spans="1:8">
      <c r="A4" s="11">
        <v>46239</v>
      </c>
      <c r="B4" s="7" t="s">
        <v>56</v>
      </c>
      <c r="C4" s="4" t="s">
        <v>55</v>
      </c>
      <c r="D4" s="8">
        <v>16</v>
      </c>
      <c r="E4" s="12">
        <v>275</v>
      </c>
      <c r="F4" s="12">
        <v>4400</v>
      </c>
      <c r="G4" s="12"/>
      <c r="H4" s="13">
        <f t="shared" ref="H4:H46" si="0">IF(AND($B4="",$C4="",$F4="",$G4=""),$H3,$H3+IF($F4="",0,$F4)-IF($G4="",0,$G4))</f>
        <v>6960</v>
      </c>
    </row>
    <row r="5" spans="1:8">
      <c r="A5" s="11">
        <v>46239</v>
      </c>
      <c r="B5" s="7" t="s">
        <v>46</v>
      </c>
      <c r="C5" s="4" t="s">
        <v>45</v>
      </c>
      <c r="D5" s="8">
        <v>11</v>
      </c>
      <c r="E5" s="12">
        <v>150</v>
      </c>
      <c r="F5" s="12">
        <v>1650</v>
      </c>
      <c r="G5" s="12"/>
      <c r="H5" s="13">
        <f t="shared" si="0"/>
        <v>8610</v>
      </c>
    </row>
    <row r="6" spans="1:8">
      <c r="A6" s="11">
        <v>46239</v>
      </c>
      <c r="B6" s="7" t="s">
        <v>48</v>
      </c>
      <c r="C6" s="4" t="s">
        <v>37</v>
      </c>
      <c r="D6" s="8">
        <v>4</v>
      </c>
      <c r="E6" s="12">
        <v>240</v>
      </c>
      <c r="F6" s="12">
        <v>960</v>
      </c>
      <c r="G6" s="12"/>
      <c r="H6" s="13">
        <f t="shared" si="0"/>
        <v>9570</v>
      </c>
    </row>
    <row r="7" spans="1:8">
      <c r="A7" s="11">
        <v>46239</v>
      </c>
      <c r="B7" s="7" t="s">
        <v>171</v>
      </c>
      <c r="C7" s="4" t="s">
        <v>43</v>
      </c>
      <c r="D7" s="8">
        <v>6</v>
      </c>
      <c r="E7" s="12">
        <v>400</v>
      </c>
      <c r="F7" s="12">
        <v>2400</v>
      </c>
      <c r="G7" s="12"/>
      <c r="H7" s="13">
        <f t="shared" si="0"/>
        <v>11970</v>
      </c>
    </row>
    <row r="8" spans="1:8">
      <c r="A8" s="11">
        <v>46239</v>
      </c>
      <c r="B8" s="7" t="s">
        <v>60</v>
      </c>
      <c r="C8" s="4" t="s">
        <v>59</v>
      </c>
      <c r="D8" s="8">
        <v>12</v>
      </c>
      <c r="E8" s="12">
        <v>275</v>
      </c>
      <c r="F8" s="12">
        <v>3300</v>
      </c>
      <c r="G8" s="12"/>
      <c r="H8" s="13">
        <f t="shared" si="0"/>
        <v>15270</v>
      </c>
    </row>
    <row r="9" spans="1:8">
      <c r="A9" s="11">
        <v>46239</v>
      </c>
      <c r="B9" s="7" t="s">
        <v>250</v>
      </c>
      <c r="C9" s="4" t="s">
        <v>49</v>
      </c>
      <c r="D9" s="8">
        <v>9</v>
      </c>
      <c r="E9" s="12">
        <v>310</v>
      </c>
      <c r="F9" s="12">
        <v>2790</v>
      </c>
      <c r="G9" s="12"/>
      <c r="H9" s="13">
        <f t="shared" si="0"/>
        <v>18060</v>
      </c>
    </row>
    <row r="10" spans="1:8">
      <c r="A10" s="11">
        <v>46239</v>
      </c>
      <c r="B10" s="7" t="s">
        <v>58</v>
      </c>
      <c r="C10" s="4" t="s">
        <v>57</v>
      </c>
      <c r="D10" s="8">
        <v>3</v>
      </c>
      <c r="E10" s="12">
        <v>275</v>
      </c>
      <c r="F10" s="12">
        <v>825</v>
      </c>
      <c r="G10" s="12"/>
      <c r="H10" s="13">
        <f t="shared" si="0"/>
        <v>18885</v>
      </c>
    </row>
    <row r="11" spans="1:8">
      <c r="A11" s="11">
        <v>46239</v>
      </c>
      <c r="B11" s="7" t="s">
        <v>312</v>
      </c>
      <c r="C11" s="4" t="s">
        <v>114</v>
      </c>
      <c r="D11" s="8">
        <v>4</v>
      </c>
      <c r="E11" s="12">
        <v>320</v>
      </c>
      <c r="F11" s="12">
        <v>1280</v>
      </c>
      <c r="G11" s="12"/>
      <c r="H11" s="13">
        <f t="shared" si="0"/>
        <v>20165</v>
      </c>
    </row>
    <row r="12" spans="1:8">
      <c r="A12" s="11">
        <v>46239</v>
      </c>
      <c r="B12" s="7" t="s">
        <v>121</v>
      </c>
      <c r="C12" s="4" t="s">
        <v>120</v>
      </c>
      <c r="D12" s="8">
        <v>4</v>
      </c>
      <c r="E12" s="12">
        <v>235</v>
      </c>
      <c r="F12" s="12">
        <v>940</v>
      </c>
      <c r="G12" s="12"/>
      <c r="H12" s="13">
        <f t="shared" si="0"/>
        <v>21105</v>
      </c>
    </row>
    <row r="13" spans="1:8">
      <c r="A13" s="11">
        <v>46239</v>
      </c>
      <c r="B13" s="7" t="s">
        <v>313</v>
      </c>
      <c r="C13" s="4" t="s">
        <v>53</v>
      </c>
      <c r="D13" s="8">
        <v>11</v>
      </c>
      <c r="E13" s="12">
        <v>250</v>
      </c>
      <c r="F13" s="12">
        <v>2750</v>
      </c>
      <c r="G13" s="12"/>
      <c r="H13" s="13">
        <f t="shared" si="0"/>
        <v>23855</v>
      </c>
    </row>
    <row r="14" spans="1:8">
      <c r="A14" s="11">
        <v>46239</v>
      </c>
      <c r="B14" s="7" t="s">
        <v>141</v>
      </c>
      <c r="C14" s="4" t="s">
        <v>39</v>
      </c>
      <c r="D14" s="8">
        <v>4</v>
      </c>
      <c r="E14" s="12">
        <v>370</v>
      </c>
      <c r="F14" s="12">
        <v>1480</v>
      </c>
      <c r="G14" s="12"/>
      <c r="H14" s="13">
        <f t="shared" si="0"/>
        <v>25335</v>
      </c>
    </row>
    <row r="15" spans="1:8">
      <c r="A15" s="7" t="s">
        <v>314</v>
      </c>
      <c r="B15" s="7" t="s">
        <v>189</v>
      </c>
      <c r="C15" s="4"/>
      <c r="D15" s="8"/>
      <c r="E15" s="12"/>
      <c r="F15" s="12"/>
      <c r="G15" s="12">
        <v>2000</v>
      </c>
      <c r="H15" s="13">
        <f t="shared" si="0"/>
        <v>23335</v>
      </c>
    </row>
    <row r="16" spans="1:8">
      <c r="A16" s="7" t="s">
        <v>147</v>
      </c>
      <c r="B16" s="7" t="s">
        <v>315</v>
      </c>
      <c r="C16" s="4" t="s">
        <v>47</v>
      </c>
      <c r="D16" s="8">
        <v>7</v>
      </c>
      <c r="E16" s="12">
        <v>260</v>
      </c>
      <c r="F16" s="12">
        <v>1820</v>
      </c>
      <c r="G16" s="12"/>
      <c r="H16" s="13">
        <f t="shared" si="0"/>
        <v>25155</v>
      </c>
    </row>
    <row r="17" spans="1:8">
      <c r="A17" s="7" t="s">
        <v>147</v>
      </c>
      <c r="B17" s="7" t="s">
        <v>316</v>
      </c>
      <c r="C17" s="4" t="s">
        <v>57</v>
      </c>
      <c r="D17" s="8">
        <v>9</v>
      </c>
      <c r="E17" s="12">
        <v>275</v>
      </c>
      <c r="F17" s="12">
        <v>2475</v>
      </c>
      <c r="G17" s="12"/>
      <c r="H17" s="13">
        <f t="shared" si="0"/>
        <v>27630</v>
      </c>
    </row>
    <row r="18" spans="1:8">
      <c r="A18" s="7" t="s">
        <v>182</v>
      </c>
      <c r="B18" s="7" t="s">
        <v>136</v>
      </c>
      <c r="C18" s="4"/>
      <c r="D18" s="8"/>
      <c r="E18" s="12"/>
      <c r="F18" s="12"/>
      <c r="G18" s="12">
        <v>5400</v>
      </c>
      <c r="H18" s="13">
        <f t="shared" si="0"/>
        <v>22230</v>
      </c>
    </row>
    <row r="19" spans="1:8">
      <c r="A19" s="7" t="s">
        <v>182</v>
      </c>
      <c r="B19" s="7"/>
      <c r="C19" s="4"/>
      <c r="D19" s="8"/>
      <c r="E19" s="12"/>
      <c r="F19" s="12"/>
      <c r="G19" s="12">
        <v>300</v>
      </c>
      <c r="H19" s="13">
        <f t="shared" si="0"/>
        <v>21930</v>
      </c>
    </row>
    <row r="20" spans="1:8">
      <c r="A20" s="7" t="s">
        <v>182</v>
      </c>
      <c r="B20" s="7" t="s">
        <v>176</v>
      </c>
      <c r="C20" s="4" t="s">
        <v>51</v>
      </c>
      <c r="D20" s="8">
        <v>12</v>
      </c>
      <c r="E20" s="12">
        <v>350</v>
      </c>
      <c r="F20" s="12">
        <v>4200</v>
      </c>
      <c r="G20" s="12"/>
      <c r="H20" s="13">
        <f t="shared" si="0"/>
        <v>26130</v>
      </c>
    </row>
    <row r="21" spans="1:8">
      <c r="A21" s="11">
        <v>46302</v>
      </c>
      <c r="B21" s="7"/>
      <c r="C21" s="4"/>
      <c r="D21" s="8"/>
      <c r="E21" s="12"/>
      <c r="F21" s="12"/>
      <c r="G21" s="12">
        <v>400</v>
      </c>
      <c r="H21" s="13">
        <f t="shared" si="0"/>
        <v>25730</v>
      </c>
    </row>
    <row r="22" spans="1:8">
      <c r="A22" s="11">
        <v>46364</v>
      </c>
      <c r="B22" s="7" t="s">
        <v>317</v>
      </c>
      <c r="C22" s="4"/>
      <c r="D22" s="8">
        <v>11</v>
      </c>
      <c r="E22" s="12">
        <v>370</v>
      </c>
      <c r="F22" s="12">
        <v>4070</v>
      </c>
      <c r="G22" s="12"/>
      <c r="H22" s="13">
        <f t="shared" si="0"/>
        <v>29800</v>
      </c>
    </row>
    <row r="23" spans="1:8">
      <c r="A23" s="11">
        <v>46364</v>
      </c>
      <c r="B23" s="7" t="s">
        <v>318</v>
      </c>
      <c r="C23" s="4"/>
      <c r="D23" s="8">
        <v>4</v>
      </c>
      <c r="E23" s="12">
        <v>180</v>
      </c>
      <c r="F23" s="12">
        <v>720</v>
      </c>
      <c r="G23" s="12"/>
      <c r="H23" s="13">
        <f t="shared" si="0"/>
        <v>30520</v>
      </c>
    </row>
    <row r="24" spans="1:8">
      <c r="A24" s="11">
        <v>46364</v>
      </c>
      <c r="B24" s="7" t="s">
        <v>319</v>
      </c>
      <c r="C24" s="4"/>
      <c r="D24" s="8">
        <v>16</v>
      </c>
      <c r="E24" s="12"/>
      <c r="F24" s="12"/>
      <c r="G24" s="12"/>
      <c r="H24" s="13">
        <f t="shared" si="0"/>
        <v>30520</v>
      </c>
    </row>
    <row r="25" spans="1:8">
      <c r="A25" s="11">
        <v>46364</v>
      </c>
      <c r="B25" s="7" t="s">
        <v>320</v>
      </c>
      <c r="C25" s="4"/>
      <c r="D25" s="8">
        <v>1</v>
      </c>
      <c r="E25" s="12"/>
      <c r="F25" s="12"/>
      <c r="G25" s="12"/>
      <c r="H25" s="13">
        <f t="shared" si="0"/>
        <v>30520</v>
      </c>
    </row>
    <row r="26" spans="1:8">
      <c r="A26" s="7" t="s">
        <v>321</v>
      </c>
      <c r="B26" s="7" t="s">
        <v>322</v>
      </c>
      <c r="C26" s="4"/>
      <c r="D26" s="8"/>
      <c r="E26" s="12"/>
      <c r="F26" s="12"/>
      <c r="G26" s="12">
        <v>200</v>
      </c>
      <c r="H26" s="13">
        <f t="shared" si="0"/>
        <v>30320</v>
      </c>
    </row>
    <row r="27" spans="1:8">
      <c r="A27" s="7"/>
      <c r="B27" s="7"/>
      <c r="C27" s="4"/>
      <c r="D27" s="8"/>
      <c r="E27" s="12"/>
      <c r="F27" s="12"/>
      <c r="G27" s="12"/>
      <c r="H27" s="13">
        <f t="shared" si="0"/>
        <v>30320</v>
      </c>
    </row>
    <row r="28" spans="1:8">
      <c r="A28" s="7"/>
      <c r="B28" s="7"/>
      <c r="C28" s="4"/>
      <c r="D28" s="8"/>
      <c r="E28" s="12"/>
      <c r="F28" s="12"/>
      <c r="G28" s="12"/>
      <c r="H28" s="13">
        <f t="shared" si="0"/>
        <v>30320</v>
      </c>
    </row>
    <row r="29" spans="1:8">
      <c r="A29" s="7"/>
      <c r="B29" s="7"/>
      <c r="C29" s="4"/>
      <c r="D29" s="8"/>
      <c r="E29" s="12"/>
      <c r="F29" s="12"/>
      <c r="G29" s="12"/>
      <c r="H29" s="13">
        <f t="shared" si="0"/>
        <v>30320</v>
      </c>
    </row>
    <row r="30" spans="1:8">
      <c r="A30" s="7"/>
      <c r="B30" s="7"/>
      <c r="C30" s="4"/>
      <c r="D30" s="8"/>
      <c r="E30" s="12"/>
      <c r="F30" s="12"/>
      <c r="G30" s="12"/>
      <c r="H30" s="13">
        <f t="shared" si="0"/>
        <v>30320</v>
      </c>
    </row>
    <row r="31" spans="1:8">
      <c r="A31" s="7"/>
      <c r="B31" s="7"/>
      <c r="C31" s="4"/>
      <c r="D31" s="8"/>
      <c r="E31" s="12"/>
      <c r="F31" s="12"/>
      <c r="G31" s="12"/>
      <c r="H31" s="13">
        <f t="shared" si="0"/>
        <v>30320</v>
      </c>
    </row>
    <row r="32" spans="1:8">
      <c r="A32" s="7"/>
      <c r="B32" s="7"/>
      <c r="C32" s="4"/>
      <c r="D32" s="8"/>
      <c r="E32" s="12"/>
      <c r="F32" s="12"/>
      <c r="G32" s="12"/>
      <c r="H32" s="13">
        <f t="shared" si="0"/>
        <v>30320</v>
      </c>
    </row>
    <row r="33" spans="1:8">
      <c r="A33" s="7"/>
      <c r="B33" s="7"/>
      <c r="C33" s="4"/>
      <c r="D33" s="8"/>
      <c r="E33" s="12"/>
      <c r="F33" s="12"/>
      <c r="G33" s="12"/>
      <c r="H33" s="13">
        <f t="shared" si="0"/>
        <v>30320</v>
      </c>
    </row>
    <row r="34" spans="1:8">
      <c r="A34" s="7"/>
      <c r="B34" s="7"/>
      <c r="C34" s="4"/>
      <c r="D34" s="8"/>
      <c r="E34" s="12"/>
      <c r="F34" s="12"/>
      <c r="G34" s="12"/>
      <c r="H34" s="13">
        <f t="shared" si="0"/>
        <v>30320</v>
      </c>
    </row>
    <row r="35" spans="1:8">
      <c r="A35" s="7"/>
      <c r="B35" s="7"/>
      <c r="C35" s="4"/>
      <c r="D35" s="8"/>
      <c r="E35" s="12"/>
      <c r="F35" s="12"/>
      <c r="G35" s="12"/>
      <c r="H35" s="13">
        <f t="shared" si="0"/>
        <v>30320</v>
      </c>
    </row>
    <row r="36" spans="1:8">
      <c r="A36" s="7"/>
      <c r="B36" s="7"/>
      <c r="C36" s="4"/>
      <c r="D36" s="8"/>
      <c r="E36" s="12"/>
      <c r="F36" s="12"/>
      <c r="G36" s="12"/>
      <c r="H36" s="13">
        <f t="shared" si="0"/>
        <v>30320</v>
      </c>
    </row>
    <row r="37" spans="1:8">
      <c r="A37" s="7"/>
      <c r="B37" s="7"/>
      <c r="C37" s="4"/>
      <c r="D37" s="8"/>
      <c r="E37" s="12"/>
      <c r="F37" s="12"/>
      <c r="G37" s="12"/>
      <c r="H37" s="13">
        <f t="shared" si="0"/>
        <v>30320</v>
      </c>
    </row>
    <row r="38" spans="1:8">
      <c r="A38" s="7"/>
      <c r="B38" s="7"/>
      <c r="C38" s="4"/>
      <c r="D38" s="8"/>
      <c r="E38" s="12"/>
      <c r="F38" s="12"/>
      <c r="G38" s="12"/>
      <c r="H38" s="13">
        <f t="shared" si="0"/>
        <v>30320</v>
      </c>
    </row>
    <row r="39" spans="1:8">
      <c r="A39" s="7"/>
      <c r="B39" s="7"/>
      <c r="C39" s="4"/>
      <c r="D39" s="8"/>
      <c r="E39" s="12"/>
      <c r="F39" s="12"/>
      <c r="G39" s="12"/>
      <c r="H39" s="13">
        <f t="shared" si="0"/>
        <v>30320</v>
      </c>
    </row>
    <row r="40" spans="1:8">
      <c r="A40" s="7"/>
      <c r="B40" s="7"/>
      <c r="C40" s="4"/>
      <c r="D40" s="8"/>
      <c r="E40" s="12"/>
      <c r="F40" s="12"/>
      <c r="G40" s="12"/>
      <c r="H40" s="13">
        <f t="shared" si="0"/>
        <v>30320</v>
      </c>
    </row>
    <row r="41" spans="1:8">
      <c r="A41" s="7"/>
      <c r="B41" s="7"/>
      <c r="C41" s="4"/>
      <c r="D41" s="8"/>
      <c r="E41" s="12"/>
      <c r="F41" s="12"/>
      <c r="G41" s="12"/>
      <c r="H41" s="13">
        <f t="shared" si="0"/>
        <v>30320</v>
      </c>
    </row>
    <row r="42" spans="1:8">
      <c r="A42" s="7"/>
      <c r="B42" s="7"/>
      <c r="C42" s="4"/>
      <c r="D42" s="8"/>
      <c r="E42" s="12"/>
      <c r="F42" s="12"/>
      <c r="G42" s="12"/>
      <c r="H42" s="13">
        <f t="shared" si="0"/>
        <v>30320</v>
      </c>
    </row>
    <row r="43" spans="1:8">
      <c r="A43" s="7"/>
      <c r="B43" s="7"/>
      <c r="C43" s="4"/>
      <c r="D43" s="8"/>
      <c r="E43" s="12"/>
      <c r="F43" s="12"/>
      <c r="G43" s="12"/>
      <c r="H43" s="13">
        <f t="shared" si="0"/>
        <v>30320</v>
      </c>
    </row>
    <row r="44" spans="1:8">
      <c r="A44" s="7"/>
      <c r="B44" s="7"/>
      <c r="C44" s="4"/>
      <c r="D44" s="8"/>
      <c r="E44" s="12"/>
      <c r="F44" s="12"/>
      <c r="G44" s="12"/>
      <c r="H44" s="13">
        <f t="shared" si="0"/>
        <v>30320</v>
      </c>
    </row>
    <row r="45" spans="1:8">
      <c r="A45" s="7"/>
      <c r="B45" s="7"/>
      <c r="C45" s="4"/>
      <c r="D45" s="8"/>
      <c r="E45" s="12"/>
      <c r="F45" s="12"/>
      <c r="G45" s="12"/>
      <c r="H45" s="13">
        <f t="shared" si="0"/>
        <v>30320</v>
      </c>
    </row>
    <row r="46" spans="1:8">
      <c r="A46" s="7"/>
      <c r="B46" s="7"/>
      <c r="C46" s="4"/>
      <c r="D46" s="8"/>
      <c r="E46" s="12"/>
      <c r="F46" s="12"/>
      <c r="G46" s="12"/>
      <c r="H46" s="13">
        <f t="shared" si="0"/>
        <v>30320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كود غير صحيح" error="الكود غير موجود في شيت المخزن - أضفه هناك أولاً" xr:uid="{00000000-0002-0000-1900-000000000000}">
          <x14:formula1>
            <xm:f>المخزن!$A$3:$A$43</xm:f>
          </x14:formula1>
          <x14:formula2>
            <xm:f>0</xm:f>
          </x14:formula2>
          <xm:sqref>C3:C46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25"/>
  <sheetViews>
    <sheetView rightToLeft="1" zoomScaleNormal="100" workbookViewId="0">
      <pane ySplit="2" topLeftCell="A3" activePane="bottomLeft" state="frozen"/>
      <selection pane="bottomLeft" sqref="A1:H1"/>
    </sheetView>
  </sheetViews>
  <sheetFormatPr defaultColWidth="8.6640625" defaultRowHeight="14.4"/>
  <cols>
    <col min="1" max="1" width="12" customWidth="1"/>
    <col min="2" max="2" width="30" customWidth="1"/>
    <col min="3" max="3" width="10" customWidth="1"/>
    <col min="4" max="4" width="8" customWidth="1"/>
    <col min="5" max="5" width="10" customWidth="1"/>
    <col min="6" max="8" width="12" customWidth="1"/>
  </cols>
  <sheetData>
    <row r="1" spans="1:8" ht="17.399999999999999" customHeight="1">
      <c r="A1" s="2" t="s">
        <v>323</v>
      </c>
      <c r="B1" s="2"/>
      <c r="C1" s="2"/>
      <c r="D1" s="2"/>
      <c r="E1" s="2"/>
      <c r="F1" s="2"/>
      <c r="G1" s="2"/>
      <c r="H1" s="2"/>
    </row>
    <row r="2" spans="1:8">
      <c r="A2" s="3" t="s">
        <v>125</v>
      </c>
      <c r="B2" s="3" t="s">
        <v>126</v>
      </c>
      <c r="C2" s="3" t="s">
        <v>1</v>
      </c>
      <c r="D2" s="3" t="s">
        <v>127</v>
      </c>
      <c r="E2" s="3" t="s">
        <v>128</v>
      </c>
      <c r="F2" s="3" t="s">
        <v>129</v>
      </c>
      <c r="G2" s="3" t="s">
        <v>130</v>
      </c>
      <c r="H2" s="3" t="s">
        <v>131</v>
      </c>
    </row>
    <row r="3" spans="1:8">
      <c r="A3" s="11">
        <v>46334</v>
      </c>
      <c r="B3" s="7" t="s">
        <v>62</v>
      </c>
      <c r="C3" s="4" t="s">
        <v>61</v>
      </c>
      <c r="D3" s="8">
        <v>12</v>
      </c>
      <c r="E3" s="12">
        <v>325</v>
      </c>
      <c r="F3" s="12">
        <v>3900</v>
      </c>
      <c r="G3" s="12"/>
      <c r="H3" s="13">
        <f>IF(AND($B3="",$C3="",$F3="",$G3=""),0,0+IF($F3="",0,$F3)-IF($G3="",0,$G3))</f>
        <v>3900</v>
      </c>
    </row>
    <row r="4" spans="1:8">
      <c r="A4" s="11">
        <v>46334</v>
      </c>
      <c r="B4" s="7" t="s">
        <v>324</v>
      </c>
      <c r="C4" s="4" t="s">
        <v>93</v>
      </c>
      <c r="D4" s="8">
        <v>8</v>
      </c>
      <c r="E4" s="12">
        <v>340</v>
      </c>
      <c r="F4" s="12">
        <v>2720</v>
      </c>
      <c r="G4" s="12"/>
      <c r="H4" s="13">
        <f t="shared" ref="H4:H25" si="0">IF(AND($B4="",$C4="",$F4="",$G4=""),$H3,$H3+IF($F4="",0,$F4)-IF($G4="",0,$G4))</f>
        <v>6620</v>
      </c>
    </row>
    <row r="5" spans="1:8">
      <c r="A5" s="11">
        <v>46334</v>
      </c>
      <c r="B5" s="7" t="s">
        <v>325</v>
      </c>
      <c r="C5" s="4"/>
      <c r="D5" s="8"/>
      <c r="E5" s="12"/>
      <c r="F5" s="12"/>
      <c r="G5" s="12">
        <v>6600</v>
      </c>
      <c r="H5" s="13">
        <f t="shared" si="0"/>
        <v>20</v>
      </c>
    </row>
    <row r="6" spans="1:8">
      <c r="A6" s="7"/>
      <c r="B6" s="7"/>
      <c r="C6" s="4"/>
      <c r="D6" s="8"/>
      <c r="E6" s="12"/>
      <c r="F6" s="12"/>
      <c r="G6" s="12"/>
      <c r="H6" s="13">
        <f t="shared" si="0"/>
        <v>20</v>
      </c>
    </row>
    <row r="7" spans="1:8">
      <c r="A7" s="7"/>
      <c r="B7" s="7"/>
      <c r="C7" s="4"/>
      <c r="D7" s="8"/>
      <c r="E7" s="12"/>
      <c r="F7" s="12"/>
      <c r="G7" s="12"/>
      <c r="H7" s="13">
        <f t="shared" si="0"/>
        <v>20</v>
      </c>
    </row>
    <row r="8" spans="1:8">
      <c r="A8" s="7"/>
      <c r="B8" s="7"/>
      <c r="C8" s="4"/>
      <c r="D8" s="8"/>
      <c r="E8" s="12"/>
      <c r="F8" s="12"/>
      <c r="G8" s="12"/>
      <c r="H8" s="13">
        <f t="shared" si="0"/>
        <v>20</v>
      </c>
    </row>
    <row r="9" spans="1:8">
      <c r="A9" s="7"/>
      <c r="B9" s="7"/>
      <c r="C9" s="4"/>
      <c r="D9" s="8"/>
      <c r="E9" s="12"/>
      <c r="F9" s="12"/>
      <c r="G9" s="12"/>
      <c r="H9" s="13">
        <f t="shared" si="0"/>
        <v>20</v>
      </c>
    </row>
    <row r="10" spans="1:8">
      <c r="A10" s="7"/>
      <c r="B10" s="7"/>
      <c r="C10" s="4"/>
      <c r="D10" s="8"/>
      <c r="E10" s="12"/>
      <c r="F10" s="12"/>
      <c r="G10" s="12"/>
      <c r="H10" s="13">
        <f t="shared" si="0"/>
        <v>20</v>
      </c>
    </row>
    <row r="11" spans="1:8">
      <c r="A11" s="7"/>
      <c r="B11" s="7"/>
      <c r="C11" s="4"/>
      <c r="D11" s="8"/>
      <c r="E11" s="12"/>
      <c r="F11" s="12"/>
      <c r="G11" s="12"/>
      <c r="H11" s="13">
        <f t="shared" si="0"/>
        <v>20</v>
      </c>
    </row>
    <row r="12" spans="1:8">
      <c r="A12" s="7"/>
      <c r="B12" s="7"/>
      <c r="C12" s="4"/>
      <c r="D12" s="8"/>
      <c r="E12" s="12"/>
      <c r="F12" s="12"/>
      <c r="G12" s="12"/>
      <c r="H12" s="13">
        <f t="shared" si="0"/>
        <v>20</v>
      </c>
    </row>
    <row r="13" spans="1:8">
      <c r="A13" s="7"/>
      <c r="B13" s="7"/>
      <c r="C13" s="4"/>
      <c r="D13" s="8"/>
      <c r="E13" s="12"/>
      <c r="F13" s="12"/>
      <c r="G13" s="12"/>
      <c r="H13" s="13">
        <f t="shared" si="0"/>
        <v>20</v>
      </c>
    </row>
    <row r="14" spans="1:8">
      <c r="A14" s="7"/>
      <c r="B14" s="7"/>
      <c r="C14" s="4"/>
      <c r="D14" s="8"/>
      <c r="E14" s="12"/>
      <c r="F14" s="12"/>
      <c r="G14" s="12"/>
      <c r="H14" s="13">
        <f t="shared" si="0"/>
        <v>20</v>
      </c>
    </row>
    <row r="15" spans="1:8">
      <c r="A15" s="7"/>
      <c r="B15" s="7"/>
      <c r="C15" s="4"/>
      <c r="D15" s="8"/>
      <c r="E15" s="12"/>
      <c r="F15" s="12"/>
      <c r="G15" s="12"/>
      <c r="H15" s="13">
        <f t="shared" si="0"/>
        <v>20</v>
      </c>
    </row>
    <row r="16" spans="1:8">
      <c r="A16" s="7"/>
      <c r="B16" s="7"/>
      <c r="C16" s="4"/>
      <c r="D16" s="8"/>
      <c r="E16" s="12"/>
      <c r="F16" s="12"/>
      <c r="G16" s="12"/>
      <c r="H16" s="13">
        <f t="shared" si="0"/>
        <v>20</v>
      </c>
    </row>
    <row r="17" spans="1:8">
      <c r="A17" s="7"/>
      <c r="B17" s="7"/>
      <c r="C17" s="4"/>
      <c r="D17" s="8"/>
      <c r="E17" s="12"/>
      <c r="F17" s="12"/>
      <c r="G17" s="12"/>
      <c r="H17" s="13">
        <f t="shared" si="0"/>
        <v>20</v>
      </c>
    </row>
    <row r="18" spans="1:8">
      <c r="A18" s="7"/>
      <c r="B18" s="7"/>
      <c r="C18" s="4"/>
      <c r="D18" s="8"/>
      <c r="E18" s="12"/>
      <c r="F18" s="12"/>
      <c r="G18" s="12"/>
      <c r="H18" s="13">
        <f t="shared" si="0"/>
        <v>20</v>
      </c>
    </row>
    <row r="19" spans="1:8">
      <c r="A19" s="7"/>
      <c r="B19" s="7"/>
      <c r="C19" s="4"/>
      <c r="D19" s="8"/>
      <c r="E19" s="12"/>
      <c r="F19" s="12"/>
      <c r="G19" s="12"/>
      <c r="H19" s="13">
        <f t="shared" si="0"/>
        <v>20</v>
      </c>
    </row>
    <row r="20" spans="1:8">
      <c r="A20" s="7"/>
      <c r="B20" s="7"/>
      <c r="C20" s="4"/>
      <c r="D20" s="8"/>
      <c r="E20" s="12"/>
      <c r="F20" s="12"/>
      <c r="G20" s="12"/>
      <c r="H20" s="13">
        <f t="shared" si="0"/>
        <v>20</v>
      </c>
    </row>
    <row r="21" spans="1:8">
      <c r="A21" s="7"/>
      <c r="B21" s="7"/>
      <c r="C21" s="4"/>
      <c r="D21" s="8"/>
      <c r="E21" s="12"/>
      <c r="F21" s="12"/>
      <c r="G21" s="12"/>
      <c r="H21" s="13">
        <f t="shared" si="0"/>
        <v>20</v>
      </c>
    </row>
    <row r="22" spans="1:8">
      <c r="A22" s="7"/>
      <c r="B22" s="7"/>
      <c r="C22" s="4"/>
      <c r="D22" s="8"/>
      <c r="E22" s="12"/>
      <c r="F22" s="12"/>
      <c r="G22" s="12"/>
      <c r="H22" s="13">
        <f t="shared" si="0"/>
        <v>20</v>
      </c>
    </row>
    <row r="23" spans="1:8">
      <c r="A23" s="7"/>
      <c r="B23" s="7"/>
      <c r="C23" s="4"/>
      <c r="D23" s="8"/>
      <c r="E23" s="12"/>
      <c r="F23" s="12"/>
      <c r="G23" s="12"/>
      <c r="H23" s="13">
        <f t="shared" si="0"/>
        <v>20</v>
      </c>
    </row>
    <row r="24" spans="1:8">
      <c r="A24" s="7"/>
      <c r="B24" s="7"/>
      <c r="C24" s="4"/>
      <c r="D24" s="8"/>
      <c r="E24" s="12"/>
      <c r="F24" s="12"/>
      <c r="G24" s="12"/>
      <c r="H24" s="13">
        <f t="shared" si="0"/>
        <v>20</v>
      </c>
    </row>
    <row r="25" spans="1:8">
      <c r="A25" s="7"/>
      <c r="B25" s="7"/>
      <c r="C25" s="4"/>
      <c r="D25" s="8"/>
      <c r="E25" s="12"/>
      <c r="F25" s="12"/>
      <c r="G25" s="12"/>
      <c r="H25" s="13">
        <f t="shared" si="0"/>
        <v>20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كود غير صحيح" error="الكود غير موجود في شيت المخزن - أضفه هناك أولاً" xr:uid="{00000000-0002-0000-1A00-000000000000}">
          <x14:formula1>
            <xm:f>المخزن!$A$3:$A$43</xm:f>
          </x14:formula1>
          <x14:formula2>
            <xm:f>0</xm:f>
          </x14:formula2>
          <xm:sqref>C3:C25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51"/>
  <sheetViews>
    <sheetView rightToLeft="1" zoomScaleNormal="100" workbookViewId="0">
      <pane ySplit="2" topLeftCell="A3" activePane="bottomLeft" state="frozen"/>
      <selection pane="bottomLeft" sqref="A1:H1"/>
    </sheetView>
  </sheetViews>
  <sheetFormatPr defaultColWidth="8.6640625" defaultRowHeight="14.4"/>
  <cols>
    <col min="1" max="1" width="12" customWidth="1"/>
    <col min="2" max="2" width="30" customWidth="1"/>
    <col min="3" max="3" width="10" customWidth="1"/>
    <col min="4" max="4" width="8" customWidth="1"/>
    <col min="5" max="5" width="10" customWidth="1"/>
    <col min="6" max="8" width="12" customWidth="1"/>
  </cols>
  <sheetData>
    <row r="1" spans="1:8" ht="17.399999999999999" customHeight="1">
      <c r="A1" s="2" t="s">
        <v>326</v>
      </c>
      <c r="B1" s="2"/>
      <c r="C1" s="2"/>
      <c r="D1" s="2"/>
      <c r="E1" s="2"/>
      <c r="F1" s="2"/>
      <c r="G1" s="2"/>
      <c r="H1" s="2"/>
    </row>
    <row r="2" spans="1:8">
      <c r="A2" s="3" t="s">
        <v>125</v>
      </c>
      <c r="B2" s="3" t="s">
        <v>126</v>
      </c>
      <c r="C2" s="3" t="s">
        <v>1</v>
      </c>
      <c r="D2" s="3" t="s">
        <v>127</v>
      </c>
      <c r="E2" s="3" t="s">
        <v>128</v>
      </c>
      <c r="F2" s="3" t="s">
        <v>129</v>
      </c>
      <c r="G2" s="3" t="s">
        <v>130</v>
      </c>
      <c r="H2" s="3" t="s">
        <v>131</v>
      </c>
    </row>
    <row r="3" spans="1:8">
      <c r="A3" s="7" t="s">
        <v>170</v>
      </c>
      <c r="B3" s="7" t="s">
        <v>327</v>
      </c>
      <c r="C3" s="4" t="s">
        <v>43</v>
      </c>
      <c r="D3" s="8">
        <v>20</v>
      </c>
      <c r="E3" s="12">
        <v>420</v>
      </c>
      <c r="F3" s="12">
        <v>8400</v>
      </c>
      <c r="G3" s="12"/>
      <c r="H3" s="13">
        <f>IF(AND($B3="",$C3="",$F3="",$G3=""),0,0+IF($F3="",0,$F3)-IF($G3="",0,$G3))</f>
        <v>8400</v>
      </c>
    </row>
    <row r="4" spans="1:8">
      <c r="A4" s="7" t="s">
        <v>170</v>
      </c>
      <c r="B4" s="7" t="s">
        <v>328</v>
      </c>
      <c r="C4" s="4" t="s">
        <v>39</v>
      </c>
      <c r="D4" s="8">
        <v>8</v>
      </c>
      <c r="E4" s="12">
        <v>390</v>
      </c>
      <c r="F4" s="12">
        <v>3120</v>
      </c>
      <c r="G4" s="12"/>
      <c r="H4" s="13">
        <f t="shared" ref="H4:H51" si="0">IF(AND($B4="",$C4="",$F4="",$G4=""),$H3,$H3+IF($F4="",0,$F4)-IF($G4="",0,$G4))</f>
        <v>11520</v>
      </c>
    </row>
    <row r="5" spans="1:8">
      <c r="A5" s="7" t="s">
        <v>170</v>
      </c>
      <c r="B5" s="7" t="s">
        <v>251</v>
      </c>
      <c r="C5" s="4" t="s">
        <v>45</v>
      </c>
      <c r="D5" s="8">
        <v>4</v>
      </c>
      <c r="E5" s="12">
        <v>175</v>
      </c>
      <c r="F5" s="12">
        <v>700</v>
      </c>
      <c r="G5" s="12"/>
      <c r="H5" s="13">
        <f t="shared" si="0"/>
        <v>12220</v>
      </c>
    </row>
    <row r="6" spans="1:8">
      <c r="A6" s="7" t="s">
        <v>170</v>
      </c>
      <c r="B6" s="7"/>
      <c r="C6" s="4"/>
      <c r="D6" s="8"/>
      <c r="E6" s="12"/>
      <c r="F6" s="12">
        <v>0</v>
      </c>
      <c r="G6" s="12">
        <v>5000</v>
      </c>
      <c r="H6" s="13">
        <f t="shared" si="0"/>
        <v>7220</v>
      </c>
    </row>
    <row r="7" spans="1:8">
      <c r="A7" s="7" t="s">
        <v>170</v>
      </c>
      <c r="B7" s="7"/>
      <c r="C7" s="4"/>
      <c r="D7" s="8"/>
      <c r="E7" s="12"/>
      <c r="F7" s="12">
        <v>0</v>
      </c>
      <c r="G7" s="12"/>
      <c r="H7" s="13">
        <f t="shared" si="0"/>
        <v>7220</v>
      </c>
    </row>
    <row r="8" spans="1:8">
      <c r="A8" s="7" t="s">
        <v>272</v>
      </c>
      <c r="B8" s="7" t="s">
        <v>140</v>
      </c>
      <c r="C8" s="4" t="s">
        <v>41</v>
      </c>
      <c r="D8" s="8">
        <v>8</v>
      </c>
      <c r="E8" s="12">
        <v>320</v>
      </c>
      <c r="F8" s="12">
        <v>2560</v>
      </c>
      <c r="G8" s="12"/>
      <c r="H8" s="13">
        <f t="shared" si="0"/>
        <v>9780</v>
      </c>
    </row>
    <row r="9" spans="1:8">
      <c r="A9" s="7" t="s">
        <v>272</v>
      </c>
      <c r="B9" s="7" t="s">
        <v>111</v>
      </c>
      <c r="C9" s="4" t="s">
        <v>45</v>
      </c>
      <c r="D9" s="8">
        <v>4</v>
      </c>
      <c r="E9" s="12">
        <v>175</v>
      </c>
      <c r="F9" s="12">
        <v>700</v>
      </c>
      <c r="G9" s="12"/>
      <c r="H9" s="13">
        <f t="shared" si="0"/>
        <v>10480</v>
      </c>
    </row>
    <row r="10" spans="1:8">
      <c r="A10" s="7" t="s">
        <v>272</v>
      </c>
      <c r="B10" s="7"/>
      <c r="C10" s="4"/>
      <c r="D10" s="8"/>
      <c r="E10" s="12"/>
      <c r="F10" s="12">
        <v>0</v>
      </c>
      <c r="G10" s="12"/>
      <c r="H10" s="13">
        <f t="shared" si="0"/>
        <v>10480</v>
      </c>
    </row>
    <row r="11" spans="1:8">
      <c r="A11" s="7" t="s">
        <v>274</v>
      </c>
      <c r="B11" s="7" t="s">
        <v>136</v>
      </c>
      <c r="C11" s="4"/>
      <c r="D11" s="8"/>
      <c r="E11" s="12"/>
      <c r="F11" s="12">
        <v>0</v>
      </c>
      <c r="G11" s="12">
        <v>2500</v>
      </c>
      <c r="H11" s="13">
        <f t="shared" si="0"/>
        <v>7980</v>
      </c>
    </row>
    <row r="12" spans="1:8">
      <c r="A12" s="7" t="s">
        <v>274</v>
      </c>
      <c r="B12" s="7"/>
      <c r="C12" s="4"/>
      <c r="D12" s="8"/>
      <c r="E12" s="12"/>
      <c r="F12" s="12">
        <v>0</v>
      </c>
      <c r="G12" s="12"/>
      <c r="H12" s="13">
        <f t="shared" si="0"/>
        <v>7980</v>
      </c>
    </row>
    <row r="13" spans="1:8">
      <c r="A13" s="11">
        <v>46027</v>
      </c>
      <c r="B13" s="7" t="s">
        <v>329</v>
      </c>
      <c r="C13" s="4" t="s">
        <v>51</v>
      </c>
      <c r="D13" s="8">
        <v>16</v>
      </c>
      <c r="E13" s="12">
        <v>380</v>
      </c>
      <c r="F13" s="12">
        <v>6080</v>
      </c>
      <c r="G13" s="12"/>
      <c r="H13" s="13">
        <f t="shared" si="0"/>
        <v>14060</v>
      </c>
    </row>
    <row r="14" spans="1:8">
      <c r="A14" s="11">
        <v>46027</v>
      </c>
      <c r="B14" s="7" t="s">
        <v>50</v>
      </c>
      <c r="C14" s="4" t="s">
        <v>49</v>
      </c>
      <c r="D14" s="8">
        <v>12</v>
      </c>
      <c r="E14" s="12">
        <v>350</v>
      </c>
      <c r="F14" s="12">
        <v>4200</v>
      </c>
      <c r="G14" s="12"/>
      <c r="H14" s="13">
        <f t="shared" si="0"/>
        <v>18260</v>
      </c>
    </row>
    <row r="15" spans="1:8">
      <c r="A15" s="11">
        <v>46208</v>
      </c>
      <c r="B15" s="7"/>
      <c r="C15" s="4"/>
      <c r="D15" s="8"/>
      <c r="E15" s="12"/>
      <c r="F15" s="12"/>
      <c r="G15" s="12">
        <v>5000</v>
      </c>
      <c r="H15" s="13">
        <f t="shared" si="0"/>
        <v>13260</v>
      </c>
    </row>
    <row r="16" spans="1:8">
      <c r="A16" s="7" t="s">
        <v>177</v>
      </c>
      <c r="B16" s="7"/>
      <c r="C16" s="4"/>
      <c r="D16" s="8"/>
      <c r="E16" s="12"/>
      <c r="F16" s="12"/>
      <c r="G16" s="12">
        <v>5000</v>
      </c>
      <c r="H16" s="13">
        <f t="shared" si="0"/>
        <v>8260</v>
      </c>
    </row>
    <row r="17" spans="1:8">
      <c r="A17" s="7" t="s">
        <v>147</v>
      </c>
      <c r="B17" s="7" t="s">
        <v>68</v>
      </c>
      <c r="C17" s="4" t="s">
        <v>122</v>
      </c>
      <c r="D17" s="8">
        <v>8</v>
      </c>
      <c r="E17" s="12">
        <v>850</v>
      </c>
      <c r="F17" s="12">
        <v>6800</v>
      </c>
      <c r="G17" s="12"/>
      <c r="H17" s="13">
        <f t="shared" si="0"/>
        <v>15060</v>
      </c>
    </row>
    <row r="18" spans="1:8">
      <c r="A18" s="7" t="s">
        <v>147</v>
      </c>
      <c r="B18" s="7" t="s">
        <v>136</v>
      </c>
      <c r="C18" s="4"/>
      <c r="D18" s="8"/>
      <c r="E18" s="12"/>
      <c r="F18" s="12"/>
      <c r="G18" s="12">
        <v>2000</v>
      </c>
      <c r="H18" s="13">
        <f t="shared" si="0"/>
        <v>13060</v>
      </c>
    </row>
    <row r="19" spans="1:8">
      <c r="A19" s="7" t="s">
        <v>330</v>
      </c>
      <c r="B19" s="7" t="s">
        <v>136</v>
      </c>
      <c r="C19" s="4"/>
      <c r="D19" s="8"/>
      <c r="E19" s="12"/>
      <c r="F19" s="12"/>
      <c r="G19" s="12">
        <v>3000</v>
      </c>
      <c r="H19" s="13">
        <f t="shared" si="0"/>
        <v>10060</v>
      </c>
    </row>
    <row r="20" spans="1:8">
      <c r="A20" s="7" t="s">
        <v>330</v>
      </c>
      <c r="B20" s="7" t="s">
        <v>158</v>
      </c>
      <c r="C20" s="4" t="s">
        <v>122</v>
      </c>
      <c r="D20" s="8">
        <v>8</v>
      </c>
      <c r="E20" s="12">
        <v>850</v>
      </c>
      <c r="F20" s="12"/>
      <c r="G20" s="12">
        <v>6800</v>
      </c>
      <c r="H20" s="13">
        <f t="shared" si="0"/>
        <v>3260</v>
      </c>
    </row>
    <row r="21" spans="1:8">
      <c r="A21" s="7" t="s">
        <v>182</v>
      </c>
      <c r="B21" s="7" t="s">
        <v>136</v>
      </c>
      <c r="C21" s="4"/>
      <c r="D21" s="8"/>
      <c r="E21" s="12"/>
      <c r="F21" s="12"/>
      <c r="G21" s="12">
        <v>3000</v>
      </c>
      <c r="H21" s="13">
        <f t="shared" si="0"/>
        <v>260</v>
      </c>
    </row>
    <row r="22" spans="1:8">
      <c r="A22" s="7" t="s">
        <v>182</v>
      </c>
      <c r="B22" s="7" t="s">
        <v>331</v>
      </c>
      <c r="C22" s="4"/>
      <c r="D22" s="8"/>
      <c r="E22" s="12"/>
      <c r="F22" s="12"/>
      <c r="G22" s="12">
        <v>620</v>
      </c>
      <c r="H22" s="13">
        <f t="shared" si="0"/>
        <v>-360</v>
      </c>
    </row>
    <row r="23" spans="1:8">
      <c r="A23" s="7" t="s">
        <v>192</v>
      </c>
      <c r="B23" s="7" t="s">
        <v>332</v>
      </c>
      <c r="C23" s="4" t="s">
        <v>65</v>
      </c>
      <c r="D23" s="8">
        <v>8</v>
      </c>
      <c r="E23" s="12">
        <v>350</v>
      </c>
      <c r="F23" s="12">
        <v>2800</v>
      </c>
      <c r="G23" s="12"/>
      <c r="H23" s="13">
        <f t="shared" si="0"/>
        <v>2440</v>
      </c>
    </row>
    <row r="24" spans="1:8">
      <c r="A24" s="7" t="s">
        <v>192</v>
      </c>
      <c r="B24" s="7" t="s">
        <v>218</v>
      </c>
      <c r="C24" s="4" t="s">
        <v>73</v>
      </c>
      <c r="D24" s="8">
        <v>8</v>
      </c>
      <c r="E24" s="12">
        <v>300</v>
      </c>
      <c r="F24" s="12">
        <v>2400</v>
      </c>
      <c r="G24" s="12"/>
      <c r="H24" s="13">
        <f t="shared" si="0"/>
        <v>4840</v>
      </c>
    </row>
    <row r="25" spans="1:8">
      <c r="A25" s="7" t="s">
        <v>192</v>
      </c>
      <c r="B25" s="7" t="s">
        <v>333</v>
      </c>
      <c r="C25" s="4" t="s">
        <v>69</v>
      </c>
      <c r="D25" s="8">
        <v>8</v>
      </c>
      <c r="E25" s="12">
        <v>250</v>
      </c>
      <c r="F25" s="12">
        <v>2000</v>
      </c>
      <c r="G25" s="12"/>
      <c r="H25" s="13">
        <f t="shared" si="0"/>
        <v>6840</v>
      </c>
    </row>
    <row r="26" spans="1:8">
      <c r="A26" s="7" t="s">
        <v>193</v>
      </c>
      <c r="B26" s="7"/>
      <c r="C26" s="4"/>
      <c r="D26" s="8"/>
      <c r="E26" s="12"/>
      <c r="F26" s="12"/>
      <c r="G26" s="12">
        <v>1500</v>
      </c>
      <c r="H26" s="13">
        <f t="shared" si="0"/>
        <v>5340</v>
      </c>
    </row>
    <row r="27" spans="1:8">
      <c r="A27" s="7" t="s">
        <v>334</v>
      </c>
      <c r="B27" s="7" t="s">
        <v>111</v>
      </c>
      <c r="C27" s="4" t="s">
        <v>45</v>
      </c>
      <c r="D27" s="8">
        <v>4</v>
      </c>
      <c r="E27" s="12">
        <v>175</v>
      </c>
      <c r="F27" s="12">
        <v>700</v>
      </c>
      <c r="G27" s="12"/>
      <c r="H27" s="13">
        <f t="shared" si="0"/>
        <v>6040</v>
      </c>
    </row>
    <row r="28" spans="1:8">
      <c r="A28" s="11">
        <v>46119</v>
      </c>
      <c r="B28" s="7"/>
      <c r="C28" s="4"/>
      <c r="D28" s="8"/>
      <c r="E28" s="12"/>
      <c r="F28" s="12"/>
      <c r="G28" s="12">
        <v>1500</v>
      </c>
      <c r="H28" s="13">
        <f t="shared" si="0"/>
        <v>4540</v>
      </c>
    </row>
    <row r="29" spans="1:8">
      <c r="A29" s="11">
        <v>46272</v>
      </c>
      <c r="B29" s="7" t="s">
        <v>136</v>
      </c>
      <c r="C29" s="4"/>
      <c r="D29" s="8"/>
      <c r="E29" s="12"/>
      <c r="F29" s="12"/>
      <c r="G29" s="12">
        <v>1500</v>
      </c>
      <c r="H29" s="13">
        <f t="shared" si="0"/>
        <v>3040</v>
      </c>
    </row>
    <row r="30" spans="1:8">
      <c r="A30" s="11">
        <v>46272</v>
      </c>
      <c r="B30" s="7" t="s">
        <v>335</v>
      </c>
      <c r="C30" s="4" t="s">
        <v>69</v>
      </c>
      <c r="D30" s="8">
        <v>8</v>
      </c>
      <c r="E30" s="12">
        <v>250</v>
      </c>
      <c r="F30" s="12"/>
      <c r="G30" s="12">
        <v>2000</v>
      </c>
      <c r="H30" s="13">
        <f t="shared" si="0"/>
        <v>1040</v>
      </c>
    </row>
    <row r="31" spans="1:8">
      <c r="A31" s="7" t="s">
        <v>241</v>
      </c>
      <c r="B31" s="7" t="s">
        <v>136</v>
      </c>
      <c r="C31" s="4"/>
      <c r="D31" s="8"/>
      <c r="E31" s="12"/>
      <c r="F31" s="12"/>
      <c r="G31" s="12">
        <v>1000</v>
      </c>
      <c r="H31" s="13">
        <f t="shared" si="0"/>
        <v>40</v>
      </c>
    </row>
    <row r="32" spans="1:8">
      <c r="A32" s="7"/>
      <c r="B32" s="7"/>
      <c r="C32" s="4"/>
      <c r="D32" s="8"/>
      <c r="E32" s="12"/>
      <c r="F32" s="12"/>
      <c r="G32" s="12"/>
      <c r="H32" s="13">
        <f t="shared" si="0"/>
        <v>40</v>
      </c>
    </row>
    <row r="33" spans="1:8">
      <c r="A33" s="7"/>
      <c r="B33" s="7"/>
      <c r="C33" s="4"/>
      <c r="D33" s="8"/>
      <c r="E33" s="12"/>
      <c r="F33" s="12"/>
      <c r="G33" s="12"/>
      <c r="H33" s="13">
        <f t="shared" si="0"/>
        <v>40</v>
      </c>
    </row>
    <row r="34" spans="1:8">
      <c r="A34" s="7"/>
      <c r="B34" s="7"/>
      <c r="C34" s="4"/>
      <c r="D34" s="8"/>
      <c r="E34" s="12"/>
      <c r="F34" s="12"/>
      <c r="G34" s="12"/>
      <c r="H34" s="13">
        <f t="shared" si="0"/>
        <v>40</v>
      </c>
    </row>
    <row r="35" spans="1:8">
      <c r="A35" s="7"/>
      <c r="B35" s="7"/>
      <c r="C35" s="4"/>
      <c r="D35" s="8"/>
      <c r="E35" s="12"/>
      <c r="F35" s="12"/>
      <c r="G35" s="12"/>
      <c r="H35" s="13">
        <f t="shared" si="0"/>
        <v>40</v>
      </c>
    </row>
    <row r="36" spans="1:8">
      <c r="A36" s="7"/>
      <c r="B36" s="7"/>
      <c r="C36" s="4"/>
      <c r="D36" s="8"/>
      <c r="E36" s="12"/>
      <c r="F36" s="12"/>
      <c r="G36" s="12"/>
      <c r="H36" s="13">
        <f t="shared" si="0"/>
        <v>40</v>
      </c>
    </row>
    <row r="37" spans="1:8">
      <c r="A37" s="7"/>
      <c r="B37" s="7"/>
      <c r="C37" s="4"/>
      <c r="D37" s="8"/>
      <c r="E37" s="12"/>
      <c r="F37" s="12"/>
      <c r="G37" s="12"/>
      <c r="H37" s="13">
        <f t="shared" si="0"/>
        <v>40</v>
      </c>
    </row>
    <row r="38" spans="1:8">
      <c r="A38" s="7"/>
      <c r="B38" s="7"/>
      <c r="C38" s="4"/>
      <c r="D38" s="8"/>
      <c r="E38" s="12"/>
      <c r="F38" s="12"/>
      <c r="G38" s="12"/>
      <c r="H38" s="13">
        <f t="shared" si="0"/>
        <v>40</v>
      </c>
    </row>
    <row r="39" spans="1:8">
      <c r="A39" s="7"/>
      <c r="B39" s="7"/>
      <c r="C39" s="4"/>
      <c r="D39" s="8"/>
      <c r="E39" s="12"/>
      <c r="F39" s="12"/>
      <c r="G39" s="12"/>
      <c r="H39" s="13">
        <f t="shared" si="0"/>
        <v>40</v>
      </c>
    </row>
    <row r="40" spans="1:8">
      <c r="A40" s="7"/>
      <c r="B40" s="7"/>
      <c r="C40" s="4"/>
      <c r="D40" s="8"/>
      <c r="E40" s="12"/>
      <c r="F40" s="12"/>
      <c r="G40" s="12"/>
      <c r="H40" s="13">
        <f t="shared" si="0"/>
        <v>40</v>
      </c>
    </row>
    <row r="41" spans="1:8">
      <c r="A41" s="7"/>
      <c r="B41" s="7"/>
      <c r="C41" s="4"/>
      <c r="D41" s="8"/>
      <c r="E41" s="12"/>
      <c r="F41" s="12"/>
      <c r="G41" s="12"/>
      <c r="H41" s="13">
        <f t="shared" si="0"/>
        <v>40</v>
      </c>
    </row>
    <row r="42" spans="1:8">
      <c r="A42" s="7"/>
      <c r="B42" s="7"/>
      <c r="C42" s="4"/>
      <c r="D42" s="8"/>
      <c r="E42" s="12"/>
      <c r="F42" s="12"/>
      <c r="G42" s="12"/>
      <c r="H42" s="13">
        <f t="shared" si="0"/>
        <v>40</v>
      </c>
    </row>
    <row r="43" spans="1:8">
      <c r="A43" s="7"/>
      <c r="B43" s="7"/>
      <c r="C43" s="4"/>
      <c r="D43" s="8"/>
      <c r="E43" s="12"/>
      <c r="F43" s="12"/>
      <c r="G43" s="12"/>
      <c r="H43" s="13">
        <f t="shared" si="0"/>
        <v>40</v>
      </c>
    </row>
    <row r="44" spans="1:8">
      <c r="A44" s="7"/>
      <c r="B44" s="7"/>
      <c r="C44" s="4"/>
      <c r="D44" s="8"/>
      <c r="E44" s="12"/>
      <c r="F44" s="12"/>
      <c r="G44" s="12"/>
      <c r="H44" s="13">
        <f t="shared" si="0"/>
        <v>40</v>
      </c>
    </row>
    <row r="45" spans="1:8">
      <c r="A45" s="7"/>
      <c r="B45" s="7"/>
      <c r="C45" s="4"/>
      <c r="D45" s="8"/>
      <c r="E45" s="12"/>
      <c r="F45" s="12"/>
      <c r="G45" s="12"/>
      <c r="H45" s="13">
        <f t="shared" si="0"/>
        <v>40</v>
      </c>
    </row>
    <row r="46" spans="1:8">
      <c r="A46" s="7"/>
      <c r="B46" s="7"/>
      <c r="C46" s="4"/>
      <c r="D46" s="8"/>
      <c r="E46" s="12"/>
      <c r="F46" s="12"/>
      <c r="G46" s="12"/>
      <c r="H46" s="13">
        <f t="shared" si="0"/>
        <v>40</v>
      </c>
    </row>
    <row r="47" spans="1:8">
      <c r="A47" s="7"/>
      <c r="B47" s="7"/>
      <c r="C47" s="4"/>
      <c r="D47" s="8"/>
      <c r="E47" s="12"/>
      <c r="F47" s="12"/>
      <c r="G47" s="12"/>
      <c r="H47" s="13">
        <f t="shared" si="0"/>
        <v>40</v>
      </c>
    </row>
    <row r="48" spans="1:8">
      <c r="A48" s="7"/>
      <c r="B48" s="7"/>
      <c r="C48" s="4"/>
      <c r="D48" s="8"/>
      <c r="E48" s="12"/>
      <c r="F48" s="12"/>
      <c r="G48" s="12"/>
      <c r="H48" s="13">
        <f t="shared" si="0"/>
        <v>40</v>
      </c>
    </row>
    <row r="49" spans="1:8">
      <c r="A49" s="7"/>
      <c r="B49" s="7"/>
      <c r="C49" s="4"/>
      <c r="D49" s="8"/>
      <c r="E49" s="12"/>
      <c r="F49" s="12"/>
      <c r="G49" s="12"/>
      <c r="H49" s="13">
        <f t="shared" si="0"/>
        <v>40</v>
      </c>
    </row>
    <row r="50" spans="1:8">
      <c r="A50" s="7"/>
      <c r="B50" s="7"/>
      <c r="C50" s="4"/>
      <c r="D50" s="8"/>
      <c r="E50" s="12"/>
      <c r="F50" s="12"/>
      <c r="G50" s="12"/>
      <c r="H50" s="13">
        <f t="shared" si="0"/>
        <v>40</v>
      </c>
    </row>
    <row r="51" spans="1:8">
      <c r="A51" s="7"/>
      <c r="B51" s="7"/>
      <c r="C51" s="4"/>
      <c r="D51" s="8"/>
      <c r="E51" s="12"/>
      <c r="F51" s="12"/>
      <c r="G51" s="12"/>
      <c r="H51" s="13">
        <f t="shared" si="0"/>
        <v>40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كود غير صحيح" error="الكود غير موجود في شيت المخزن - أضفه هناك أولاً" xr:uid="{00000000-0002-0000-1B00-000000000000}">
          <x14:formula1>
            <xm:f>المخزن!$A$3:$A$43</xm:f>
          </x14:formula1>
          <x14:formula2>
            <xm:f>0</xm:f>
          </x14:formula2>
          <xm:sqref>C3:C51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46"/>
  <sheetViews>
    <sheetView rightToLeft="1" zoomScaleNormal="100" workbookViewId="0">
      <pane ySplit="2" topLeftCell="A3" activePane="bottomLeft" state="frozen"/>
      <selection pane="bottomLeft" sqref="A1:H1"/>
    </sheetView>
  </sheetViews>
  <sheetFormatPr defaultColWidth="8.6640625" defaultRowHeight="14.4"/>
  <cols>
    <col min="1" max="1" width="12" customWidth="1"/>
    <col min="2" max="2" width="30" customWidth="1"/>
    <col min="3" max="3" width="10" customWidth="1"/>
    <col min="4" max="4" width="8" customWidth="1"/>
    <col min="5" max="5" width="10" customWidth="1"/>
    <col min="6" max="8" width="12" customWidth="1"/>
  </cols>
  <sheetData>
    <row r="1" spans="1:8" ht="17.399999999999999" customHeight="1">
      <c r="A1" s="2" t="s">
        <v>336</v>
      </c>
      <c r="B1" s="2"/>
      <c r="C1" s="2"/>
      <c r="D1" s="2"/>
      <c r="E1" s="2"/>
      <c r="F1" s="2"/>
      <c r="G1" s="2"/>
      <c r="H1" s="2"/>
    </row>
    <row r="2" spans="1:8">
      <c r="A2" s="3" t="s">
        <v>125</v>
      </c>
      <c r="B2" s="3" t="s">
        <v>126</v>
      </c>
      <c r="C2" s="3" t="s">
        <v>1</v>
      </c>
      <c r="D2" s="3" t="s">
        <v>127</v>
      </c>
      <c r="E2" s="3" t="s">
        <v>128</v>
      </c>
      <c r="F2" s="3" t="s">
        <v>129</v>
      </c>
      <c r="G2" s="3" t="s">
        <v>130</v>
      </c>
      <c r="H2" s="3" t="s">
        <v>131</v>
      </c>
    </row>
    <row r="3" spans="1:8">
      <c r="A3" s="7" t="s">
        <v>337</v>
      </c>
      <c r="B3" s="7" t="s">
        <v>139</v>
      </c>
      <c r="C3" s="4" t="s">
        <v>37</v>
      </c>
      <c r="D3" s="8">
        <v>24</v>
      </c>
      <c r="E3" s="12">
        <v>320</v>
      </c>
      <c r="F3" s="12">
        <v>7680</v>
      </c>
      <c r="G3" s="12"/>
      <c r="H3" s="13">
        <f>IF(AND($B3="",$C3="",$F3="",$G3=""),0,0+IF($F3="",0,$F3)-IF($G3="",0,$G3))</f>
        <v>7680</v>
      </c>
    </row>
    <row r="4" spans="1:8">
      <c r="A4" s="7" t="s">
        <v>337</v>
      </c>
      <c r="B4" s="7" t="s">
        <v>141</v>
      </c>
      <c r="C4" s="4" t="s">
        <v>39</v>
      </c>
      <c r="D4" s="8">
        <v>16</v>
      </c>
      <c r="E4" s="12">
        <v>380</v>
      </c>
      <c r="F4" s="12">
        <v>6080</v>
      </c>
      <c r="G4" s="12"/>
      <c r="H4" s="13">
        <f t="shared" ref="H4:H46" si="0">IF(AND($B4="",$C4="",$F4="",$G4=""),$H3,$H3+IF($F4="",0,$F4)-IF($G4="",0,$G4))</f>
        <v>13760</v>
      </c>
    </row>
    <row r="5" spans="1:8">
      <c r="A5" s="7" t="s">
        <v>337</v>
      </c>
      <c r="B5" s="7" t="s">
        <v>140</v>
      </c>
      <c r="C5" s="4" t="s">
        <v>41</v>
      </c>
      <c r="D5" s="8">
        <v>24</v>
      </c>
      <c r="E5" s="12">
        <v>310</v>
      </c>
      <c r="F5" s="12">
        <v>7440</v>
      </c>
      <c r="G5" s="12"/>
      <c r="H5" s="13">
        <f t="shared" si="0"/>
        <v>21200</v>
      </c>
    </row>
    <row r="6" spans="1:8">
      <c r="A6" s="7" t="s">
        <v>337</v>
      </c>
      <c r="B6" s="7"/>
      <c r="C6" s="4"/>
      <c r="D6" s="8"/>
      <c r="E6" s="12"/>
      <c r="F6" s="12">
        <v>0</v>
      </c>
      <c r="G6" s="12"/>
      <c r="H6" s="13">
        <f t="shared" si="0"/>
        <v>21200</v>
      </c>
    </row>
    <row r="7" spans="1:8">
      <c r="A7" s="7" t="s">
        <v>170</v>
      </c>
      <c r="B7" s="7" t="s">
        <v>259</v>
      </c>
      <c r="C7" s="4" t="s">
        <v>43</v>
      </c>
      <c r="D7" s="8">
        <v>36</v>
      </c>
      <c r="E7" s="12">
        <v>400</v>
      </c>
      <c r="F7" s="12">
        <v>14400</v>
      </c>
      <c r="G7" s="12"/>
      <c r="H7" s="13">
        <f t="shared" si="0"/>
        <v>35600</v>
      </c>
    </row>
    <row r="8" spans="1:8">
      <c r="A8" s="7" t="s">
        <v>170</v>
      </c>
      <c r="B8" s="7"/>
      <c r="C8" s="4"/>
      <c r="D8" s="8"/>
      <c r="E8" s="12"/>
      <c r="F8" s="12">
        <v>0</v>
      </c>
      <c r="G8" s="12"/>
      <c r="H8" s="13">
        <f t="shared" si="0"/>
        <v>35600</v>
      </c>
    </row>
    <row r="9" spans="1:8">
      <c r="A9" s="7" t="s">
        <v>144</v>
      </c>
      <c r="B9" s="7" t="s">
        <v>250</v>
      </c>
      <c r="C9" s="4" t="s">
        <v>49</v>
      </c>
      <c r="D9" s="8">
        <v>24</v>
      </c>
      <c r="E9" s="12">
        <v>310</v>
      </c>
      <c r="F9" s="12">
        <v>7440</v>
      </c>
      <c r="G9" s="12"/>
      <c r="H9" s="13">
        <f t="shared" si="0"/>
        <v>43040</v>
      </c>
    </row>
    <row r="10" spans="1:8">
      <c r="A10" s="7" t="s">
        <v>144</v>
      </c>
      <c r="B10" s="7" t="s">
        <v>52</v>
      </c>
      <c r="C10" s="4" t="s">
        <v>51</v>
      </c>
      <c r="D10" s="8">
        <v>32</v>
      </c>
      <c r="E10" s="12">
        <v>350</v>
      </c>
      <c r="F10" s="12">
        <v>11200</v>
      </c>
      <c r="G10" s="12"/>
      <c r="H10" s="13">
        <f t="shared" si="0"/>
        <v>54240</v>
      </c>
    </row>
    <row r="11" spans="1:8">
      <c r="A11" s="7" t="s">
        <v>144</v>
      </c>
      <c r="B11" s="7" t="s">
        <v>60</v>
      </c>
      <c r="C11" s="4" t="s">
        <v>59</v>
      </c>
      <c r="D11" s="8">
        <v>36</v>
      </c>
      <c r="E11" s="12">
        <v>275</v>
      </c>
      <c r="F11" s="12">
        <v>9900</v>
      </c>
      <c r="G11" s="12"/>
      <c r="H11" s="13">
        <f t="shared" si="0"/>
        <v>64140</v>
      </c>
    </row>
    <row r="12" spans="1:8">
      <c r="A12" s="7" t="s">
        <v>144</v>
      </c>
      <c r="B12" s="7" t="s">
        <v>48</v>
      </c>
      <c r="C12" s="4" t="s">
        <v>47</v>
      </c>
      <c r="D12" s="8">
        <v>32</v>
      </c>
      <c r="E12" s="12">
        <v>240</v>
      </c>
      <c r="F12" s="12">
        <v>7680</v>
      </c>
      <c r="G12" s="12"/>
      <c r="H12" s="13">
        <f t="shared" si="0"/>
        <v>71820</v>
      </c>
    </row>
    <row r="13" spans="1:8">
      <c r="A13" s="11">
        <v>46178</v>
      </c>
      <c r="B13" s="7" t="s">
        <v>56</v>
      </c>
      <c r="C13" s="4" t="s">
        <v>55</v>
      </c>
      <c r="D13" s="8">
        <v>28</v>
      </c>
      <c r="E13" s="12">
        <v>275</v>
      </c>
      <c r="F13" s="12">
        <v>7700</v>
      </c>
      <c r="G13" s="12"/>
      <c r="H13" s="13">
        <f t="shared" si="0"/>
        <v>79520</v>
      </c>
    </row>
    <row r="14" spans="1:8">
      <c r="A14" s="11">
        <v>46178</v>
      </c>
      <c r="B14" s="7" t="s">
        <v>54</v>
      </c>
      <c r="C14" s="4" t="s">
        <v>53</v>
      </c>
      <c r="D14" s="8">
        <v>24</v>
      </c>
      <c r="E14" s="12">
        <v>250</v>
      </c>
      <c r="F14" s="12">
        <v>6000</v>
      </c>
      <c r="G14" s="12"/>
      <c r="H14" s="13">
        <f t="shared" si="0"/>
        <v>85520</v>
      </c>
    </row>
    <row r="15" spans="1:8">
      <c r="A15" s="11">
        <v>46178</v>
      </c>
      <c r="B15" s="7" t="s">
        <v>58</v>
      </c>
      <c r="C15" s="4" t="s">
        <v>57</v>
      </c>
      <c r="D15" s="8">
        <v>20</v>
      </c>
      <c r="E15" s="12">
        <v>275</v>
      </c>
      <c r="F15" s="12">
        <v>5500</v>
      </c>
      <c r="G15" s="12"/>
      <c r="H15" s="13">
        <f t="shared" si="0"/>
        <v>91020</v>
      </c>
    </row>
    <row r="16" spans="1:8">
      <c r="A16" s="7" t="s">
        <v>147</v>
      </c>
      <c r="B16" s="7" t="s">
        <v>54</v>
      </c>
      <c r="C16" s="4" t="s">
        <v>53</v>
      </c>
      <c r="D16" s="8">
        <v>24</v>
      </c>
      <c r="E16" s="12">
        <v>250</v>
      </c>
      <c r="F16" s="12">
        <v>6000</v>
      </c>
      <c r="G16" s="12"/>
      <c r="H16" s="13">
        <f t="shared" si="0"/>
        <v>97020</v>
      </c>
    </row>
    <row r="17" spans="1:8">
      <c r="A17" s="7" t="s">
        <v>149</v>
      </c>
      <c r="B17" s="7" t="s">
        <v>338</v>
      </c>
      <c r="C17" s="4" t="s">
        <v>47</v>
      </c>
      <c r="D17" s="8">
        <v>32</v>
      </c>
      <c r="E17" s="12">
        <v>240</v>
      </c>
      <c r="F17" s="12"/>
      <c r="G17" s="12">
        <v>7680</v>
      </c>
      <c r="H17" s="13">
        <f t="shared" si="0"/>
        <v>89340</v>
      </c>
    </row>
    <row r="18" spans="1:8">
      <c r="A18" s="7" t="s">
        <v>149</v>
      </c>
      <c r="B18" s="7" t="s">
        <v>339</v>
      </c>
      <c r="C18" s="4" t="s">
        <v>55</v>
      </c>
      <c r="D18" s="8">
        <v>28</v>
      </c>
      <c r="E18" s="12">
        <v>275</v>
      </c>
      <c r="F18" s="12"/>
      <c r="G18" s="12">
        <v>7700</v>
      </c>
      <c r="H18" s="13">
        <f t="shared" si="0"/>
        <v>81640</v>
      </c>
    </row>
    <row r="19" spans="1:8">
      <c r="A19" s="7" t="s">
        <v>149</v>
      </c>
      <c r="B19" s="7" t="s">
        <v>340</v>
      </c>
      <c r="C19" s="4" t="s">
        <v>57</v>
      </c>
      <c r="D19" s="8">
        <v>20</v>
      </c>
      <c r="E19" s="12">
        <v>275</v>
      </c>
      <c r="F19" s="12"/>
      <c r="G19" s="12">
        <v>5500</v>
      </c>
      <c r="H19" s="13">
        <f t="shared" si="0"/>
        <v>76140</v>
      </c>
    </row>
    <row r="20" spans="1:8">
      <c r="A20" s="7" t="s">
        <v>149</v>
      </c>
      <c r="B20" s="7" t="s">
        <v>341</v>
      </c>
      <c r="C20" s="4" t="s">
        <v>41</v>
      </c>
      <c r="D20" s="8">
        <v>24</v>
      </c>
      <c r="E20" s="12">
        <v>310</v>
      </c>
      <c r="F20" s="12"/>
      <c r="G20" s="12">
        <v>7440</v>
      </c>
      <c r="H20" s="13">
        <f t="shared" si="0"/>
        <v>68700</v>
      </c>
    </row>
    <row r="21" spans="1:8">
      <c r="A21" s="7" t="s">
        <v>149</v>
      </c>
      <c r="B21" s="7" t="s">
        <v>154</v>
      </c>
      <c r="C21" s="4" t="s">
        <v>43</v>
      </c>
      <c r="D21" s="8">
        <v>8</v>
      </c>
      <c r="E21" s="12">
        <v>400</v>
      </c>
      <c r="F21" s="12"/>
      <c r="G21" s="12">
        <v>3200</v>
      </c>
      <c r="H21" s="13">
        <f t="shared" si="0"/>
        <v>65500</v>
      </c>
    </row>
    <row r="22" spans="1:8">
      <c r="A22" s="7" t="s">
        <v>159</v>
      </c>
      <c r="B22" s="7" t="s">
        <v>342</v>
      </c>
      <c r="C22" s="4" t="s">
        <v>39</v>
      </c>
      <c r="D22" s="8">
        <v>16</v>
      </c>
      <c r="E22" s="12">
        <v>380</v>
      </c>
      <c r="F22" s="12"/>
      <c r="G22" s="12">
        <v>6080</v>
      </c>
      <c r="H22" s="13">
        <f t="shared" si="0"/>
        <v>59420</v>
      </c>
    </row>
    <row r="23" spans="1:8">
      <c r="A23" s="7" t="s">
        <v>159</v>
      </c>
      <c r="B23" s="7" t="s">
        <v>343</v>
      </c>
      <c r="C23" s="4" t="s">
        <v>43</v>
      </c>
      <c r="D23" s="8">
        <v>12</v>
      </c>
      <c r="E23" s="12">
        <v>400</v>
      </c>
      <c r="F23" s="12"/>
      <c r="G23" s="12">
        <v>4800</v>
      </c>
      <c r="H23" s="13">
        <f t="shared" si="0"/>
        <v>54620</v>
      </c>
    </row>
    <row r="24" spans="1:8">
      <c r="A24" s="7" t="s">
        <v>159</v>
      </c>
      <c r="B24" s="7" t="s">
        <v>174</v>
      </c>
      <c r="C24" s="4" t="s">
        <v>51</v>
      </c>
      <c r="D24" s="8">
        <v>32</v>
      </c>
      <c r="E24" s="12">
        <v>350</v>
      </c>
      <c r="F24" s="12">
        <v>11200</v>
      </c>
      <c r="G24" s="12"/>
      <c r="H24" s="13">
        <f t="shared" si="0"/>
        <v>65820</v>
      </c>
    </row>
    <row r="25" spans="1:8">
      <c r="A25" s="7" t="s">
        <v>159</v>
      </c>
      <c r="B25" s="7" t="s">
        <v>344</v>
      </c>
      <c r="C25" s="4" t="s">
        <v>69</v>
      </c>
      <c r="D25" s="8">
        <v>32</v>
      </c>
      <c r="E25" s="12">
        <v>235</v>
      </c>
      <c r="F25" s="12">
        <v>7520</v>
      </c>
      <c r="G25" s="12"/>
      <c r="H25" s="13">
        <f t="shared" si="0"/>
        <v>73340</v>
      </c>
    </row>
    <row r="26" spans="1:8">
      <c r="A26" s="7" t="s">
        <v>159</v>
      </c>
      <c r="B26" s="7" t="s">
        <v>345</v>
      </c>
      <c r="C26" s="4" t="s">
        <v>69</v>
      </c>
      <c r="D26" s="8">
        <v>32</v>
      </c>
      <c r="E26" s="12">
        <v>35</v>
      </c>
      <c r="F26" s="12"/>
      <c r="G26" s="12">
        <v>1120</v>
      </c>
      <c r="H26" s="13">
        <f t="shared" si="0"/>
        <v>72220</v>
      </c>
    </row>
    <row r="27" spans="1:8">
      <c r="A27" s="7"/>
      <c r="B27" s="7"/>
      <c r="C27" s="4"/>
      <c r="D27" s="8"/>
      <c r="E27" s="12"/>
      <c r="F27" s="12"/>
      <c r="G27" s="12"/>
      <c r="H27" s="13">
        <f t="shared" si="0"/>
        <v>72220</v>
      </c>
    </row>
    <row r="28" spans="1:8">
      <c r="A28" s="7"/>
      <c r="B28" s="7"/>
      <c r="C28" s="4"/>
      <c r="D28" s="8"/>
      <c r="E28" s="12"/>
      <c r="F28" s="12"/>
      <c r="G28" s="12"/>
      <c r="H28" s="13">
        <f t="shared" si="0"/>
        <v>72220</v>
      </c>
    </row>
    <row r="29" spans="1:8">
      <c r="A29" s="7"/>
      <c r="B29" s="7"/>
      <c r="C29" s="4"/>
      <c r="D29" s="8"/>
      <c r="E29" s="12"/>
      <c r="F29" s="12"/>
      <c r="G29" s="12"/>
      <c r="H29" s="13">
        <f t="shared" si="0"/>
        <v>72220</v>
      </c>
    </row>
    <row r="30" spans="1:8">
      <c r="A30" s="7"/>
      <c r="B30" s="7"/>
      <c r="C30" s="4"/>
      <c r="D30" s="8"/>
      <c r="E30" s="12"/>
      <c r="F30" s="12"/>
      <c r="G30" s="12"/>
      <c r="H30" s="13">
        <f t="shared" si="0"/>
        <v>72220</v>
      </c>
    </row>
    <row r="31" spans="1:8">
      <c r="A31" s="7"/>
      <c r="B31" s="7"/>
      <c r="C31" s="4"/>
      <c r="D31" s="8"/>
      <c r="E31" s="12"/>
      <c r="F31" s="12"/>
      <c r="G31" s="12"/>
      <c r="H31" s="13">
        <f t="shared" si="0"/>
        <v>72220</v>
      </c>
    </row>
    <row r="32" spans="1:8">
      <c r="A32" s="7"/>
      <c r="B32" s="7"/>
      <c r="C32" s="4"/>
      <c r="D32" s="8"/>
      <c r="E32" s="12"/>
      <c r="F32" s="12"/>
      <c r="G32" s="12"/>
      <c r="H32" s="13">
        <f t="shared" si="0"/>
        <v>72220</v>
      </c>
    </row>
    <row r="33" spans="1:8">
      <c r="A33" s="7"/>
      <c r="B33" s="7"/>
      <c r="C33" s="4"/>
      <c r="D33" s="8"/>
      <c r="E33" s="12"/>
      <c r="F33" s="12"/>
      <c r="G33" s="12"/>
      <c r="H33" s="13">
        <f t="shared" si="0"/>
        <v>72220</v>
      </c>
    </row>
    <row r="34" spans="1:8">
      <c r="A34" s="7"/>
      <c r="B34" s="7"/>
      <c r="C34" s="4"/>
      <c r="D34" s="8"/>
      <c r="E34" s="12"/>
      <c r="F34" s="12"/>
      <c r="G34" s="12"/>
      <c r="H34" s="13">
        <f t="shared" si="0"/>
        <v>72220</v>
      </c>
    </row>
    <row r="35" spans="1:8">
      <c r="A35" s="7"/>
      <c r="B35" s="7"/>
      <c r="C35" s="4"/>
      <c r="D35" s="8"/>
      <c r="E35" s="12"/>
      <c r="F35" s="12"/>
      <c r="G35" s="12"/>
      <c r="H35" s="13">
        <f t="shared" si="0"/>
        <v>72220</v>
      </c>
    </row>
    <row r="36" spans="1:8">
      <c r="A36" s="7"/>
      <c r="B36" s="7"/>
      <c r="C36" s="4"/>
      <c r="D36" s="8"/>
      <c r="E36" s="12"/>
      <c r="F36" s="12"/>
      <c r="G36" s="12"/>
      <c r="H36" s="13">
        <f t="shared" si="0"/>
        <v>72220</v>
      </c>
    </row>
    <row r="37" spans="1:8">
      <c r="A37" s="7"/>
      <c r="B37" s="7"/>
      <c r="C37" s="4"/>
      <c r="D37" s="8"/>
      <c r="E37" s="12"/>
      <c r="F37" s="12"/>
      <c r="G37" s="12"/>
      <c r="H37" s="13">
        <f t="shared" si="0"/>
        <v>72220</v>
      </c>
    </row>
    <row r="38" spans="1:8">
      <c r="A38" s="7"/>
      <c r="B38" s="7"/>
      <c r="C38" s="4"/>
      <c r="D38" s="8"/>
      <c r="E38" s="12"/>
      <c r="F38" s="12"/>
      <c r="G38" s="12"/>
      <c r="H38" s="13">
        <f t="shared" si="0"/>
        <v>72220</v>
      </c>
    </row>
    <row r="39" spans="1:8">
      <c r="A39" s="7"/>
      <c r="B39" s="7"/>
      <c r="C39" s="4"/>
      <c r="D39" s="8"/>
      <c r="E39" s="12"/>
      <c r="F39" s="12"/>
      <c r="G39" s="12"/>
      <c r="H39" s="13">
        <f t="shared" si="0"/>
        <v>72220</v>
      </c>
    </row>
    <row r="40" spans="1:8">
      <c r="A40" s="7"/>
      <c r="B40" s="7"/>
      <c r="C40" s="4"/>
      <c r="D40" s="8"/>
      <c r="E40" s="12"/>
      <c r="F40" s="12"/>
      <c r="G40" s="12"/>
      <c r="H40" s="13">
        <f t="shared" si="0"/>
        <v>72220</v>
      </c>
    </row>
    <row r="41" spans="1:8">
      <c r="A41" s="7"/>
      <c r="B41" s="7"/>
      <c r="C41" s="4"/>
      <c r="D41" s="8"/>
      <c r="E41" s="12"/>
      <c r="F41" s="12"/>
      <c r="G41" s="12"/>
      <c r="H41" s="13">
        <f t="shared" si="0"/>
        <v>72220</v>
      </c>
    </row>
    <row r="42" spans="1:8">
      <c r="A42" s="7"/>
      <c r="B42" s="7"/>
      <c r="C42" s="4"/>
      <c r="D42" s="8"/>
      <c r="E42" s="12"/>
      <c r="F42" s="12"/>
      <c r="G42" s="12"/>
      <c r="H42" s="13">
        <f t="shared" si="0"/>
        <v>72220</v>
      </c>
    </row>
    <row r="43" spans="1:8">
      <c r="A43" s="7"/>
      <c r="B43" s="7"/>
      <c r="C43" s="4"/>
      <c r="D43" s="8"/>
      <c r="E43" s="12"/>
      <c r="F43" s="12"/>
      <c r="G43" s="12"/>
      <c r="H43" s="13">
        <f t="shared" si="0"/>
        <v>72220</v>
      </c>
    </row>
    <row r="44" spans="1:8">
      <c r="A44" s="7"/>
      <c r="B44" s="7"/>
      <c r="C44" s="4"/>
      <c r="D44" s="8"/>
      <c r="E44" s="12"/>
      <c r="F44" s="12"/>
      <c r="G44" s="12"/>
      <c r="H44" s="13">
        <f t="shared" si="0"/>
        <v>72220</v>
      </c>
    </row>
    <row r="45" spans="1:8">
      <c r="A45" s="7"/>
      <c r="B45" s="7"/>
      <c r="C45" s="4"/>
      <c r="D45" s="8"/>
      <c r="E45" s="12"/>
      <c r="F45" s="12"/>
      <c r="G45" s="12"/>
      <c r="H45" s="13">
        <f t="shared" si="0"/>
        <v>72220</v>
      </c>
    </row>
    <row r="46" spans="1:8">
      <c r="A46" s="7"/>
      <c r="B46" s="7"/>
      <c r="C46" s="4"/>
      <c r="D46" s="8"/>
      <c r="E46" s="12"/>
      <c r="F46" s="12"/>
      <c r="G46" s="12"/>
      <c r="H46" s="13">
        <f t="shared" si="0"/>
        <v>72220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كود غير صحيح" error="الكود غير موجود في شيت المخزن - أضفه هناك أولاً" xr:uid="{00000000-0002-0000-1C00-000000000000}">
          <x14:formula1>
            <xm:f>المخزن!$A$3:$A$43</xm:f>
          </x14:formula1>
          <x14:formula2>
            <xm:f>0</xm:f>
          </x14:formula2>
          <xm:sqref>C3:C46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24"/>
  <sheetViews>
    <sheetView rightToLeft="1" zoomScaleNormal="100" workbookViewId="0">
      <pane ySplit="2" topLeftCell="A3" activePane="bottomLeft" state="frozen"/>
      <selection pane="bottomLeft" sqref="A1:H1"/>
    </sheetView>
  </sheetViews>
  <sheetFormatPr defaultColWidth="8.6640625" defaultRowHeight="14.4"/>
  <cols>
    <col min="1" max="1" width="12" customWidth="1"/>
    <col min="2" max="2" width="30" customWidth="1"/>
    <col min="3" max="3" width="10" customWidth="1"/>
    <col min="4" max="4" width="8" customWidth="1"/>
    <col min="5" max="5" width="10" customWidth="1"/>
    <col min="6" max="8" width="12" customWidth="1"/>
  </cols>
  <sheetData>
    <row r="1" spans="1:8" ht="17.399999999999999" customHeight="1">
      <c r="A1" s="2" t="s">
        <v>346</v>
      </c>
      <c r="B1" s="2"/>
      <c r="C1" s="2"/>
      <c r="D1" s="2"/>
      <c r="E1" s="2"/>
      <c r="F1" s="2"/>
      <c r="G1" s="2"/>
      <c r="H1" s="2"/>
    </row>
    <row r="2" spans="1:8">
      <c r="A2" s="3" t="s">
        <v>125</v>
      </c>
      <c r="B2" s="3" t="s">
        <v>126</v>
      </c>
      <c r="C2" s="3" t="s">
        <v>1</v>
      </c>
      <c r="D2" s="3" t="s">
        <v>127</v>
      </c>
      <c r="E2" s="3" t="s">
        <v>128</v>
      </c>
      <c r="F2" s="3" t="s">
        <v>129</v>
      </c>
      <c r="G2" s="3" t="s">
        <v>130</v>
      </c>
      <c r="H2" s="3" t="s">
        <v>131</v>
      </c>
    </row>
    <row r="3" spans="1:8">
      <c r="A3" s="7" t="s">
        <v>149</v>
      </c>
      <c r="B3" s="7" t="s">
        <v>44</v>
      </c>
      <c r="C3" s="4" t="s">
        <v>43</v>
      </c>
      <c r="D3" s="8">
        <v>1</v>
      </c>
      <c r="E3" s="12">
        <v>420</v>
      </c>
      <c r="F3" s="12">
        <v>420</v>
      </c>
      <c r="G3" s="12"/>
      <c r="H3" s="13">
        <f>IF(AND($B3="",$C3="",$F3="",$G3=""),0,0+IF($F3="",0,$F3)-IF($G3="",0,$G3))</f>
        <v>420</v>
      </c>
    </row>
    <row r="4" spans="1:8">
      <c r="A4" s="7" t="s">
        <v>149</v>
      </c>
      <c r="B4" s="7" t="s">
        <v>50</v>
      </c>
      <c r="C4" s="4" t="s">
        <v>49</v>
      </c>
      <c r="D4" s="8">
        <v>1</v>
      </c>
      <c r="E4" s="12">
        <v>310</v>
      </c>
      <c r="F4" s="12">
        <v>310</v>
      </c>
      <c r="G4" s="12"/>
      <c r="H4" s="13">
        <f t="shared" ref="H4:H24" si="0">IF(AND($B4="",$C4="",$F4="",$G4=""),$H3,$H3+IF($F4="",0,$F4)-IF($G4="",0,$G4))</f>
        <v>730</v>
      </c>
    </row>
    <row r="5" spans="1:8">
      <c r="A5" s="7"/>
      <c r="B5" s="7"/>
      <c r="C5" s="4"/>
      <c r="D5" s="8"/>
      <c r="E5" s="12"/>
      <c r="F5" s="12"/>
      <c r="G5" s="12"/>
      <c r="H5" s="13">
        <f t="shared" si="0"/>
        <v>730</v>
      </c>
    </row>
    <row r="6" spans="1:8">
      <c r="A6" s="7"/>
      <c r="B6" s="7"/>
      <c r="C6" s="4"/>
      <c r="D6" s="8"/>
      <c r="E6" s="12"/>
      <c r="F6" s="12"/>
      <c r="G6" s="12"/>
      <c r="H6" s="13">
        <f t="shared" si="0"/>
        <v>730</v>
      </c>
    </row>
    <row r="7" spans="1:8">
      <c r="A7" s="7"/>
      <c r="B7" s="7"/>
      <c r="C7" s="4"/>
      <c r="D7" s="8"/>
      <c r="E7" s="12"/>
      <c r="F7" s="12"/>
      <c r="G7" s="12"/>
      <c r="H7" s="13">
        <f t="shared" si="0"/>
        <v>730</v>
      </c>
    </row>
    <row r="8" spans="1:8">
      <c r="A8" s="7"/>
      <c r="B8" s="7"/>
      <c r="C8" s="4"/>
      <c r="D8" s="8"/>
      <c r="E8" s="12"/>
      <c r="F8" s="12"/>
      <c r="G8" s="12"/>
      <c r="H8" s="13">
        <f t="shared" si="0"/>
        <v>730</v>
      </c>
    </row>
    <row r="9" spans="1:8">
      <c r="A9" s="7"/>
      <c r="B9" s="7"/>
      <c r="C9" s="4"/>
      <c r="D9" s="8"/>
      <c r="E9" s="12"/>
      <c r="F9" s="12"/>
      <c r="G9" s="12"/>
      <c r="H9" s="13">
        <f t="shared" si="0"/>
        <v>730</v>
      </c>
    </row>
    <row r="10" spans="1:8">
      <c r="A10" s="7"/>
      <c r="B10" s="7"/>
      <c r="C10" s="4"/>
      <c r="D10" s="8"/>
      <c r="E10" s="12"/>
      <c r="F10" s="12"/>
      <c r="G10" s="12"/>
      <c r="H10" s="13">
        <f t="shared" si="0"/>
        <v>730</v>
      </c>
    </row>
    <row r="11" spans="1:8">
      <c r="A11" s="7"/>
      <c r="B11" s="7"/>
      <c r="C11" s="4"/>
      <c r="D11" s="8"/>
      <c r="E11" s="12"/>
      <c r="F11" s="12"/>
      <c r="G11" s="12"/>
      <c r="H11" s="13">
        <f t="shared" si="0"/>
        <v>730</v>
      </c>
    </row>
    <row r="12" spans="1:8">
      <c r="A12" s="7"/>
      <c r="B12" s="7"/>
      <c r="C12" s="4"/>
      <c r="D12" s="8"/>
      <c r="E12" s="12"/>
      <c r="F12" s="12"/>
      <c r="G12" s="12"/>
      <c r="H12" s="13">
        <f t="shared" si="0"/>
        <v>730</v>
      </c>
    </row>
    <row r="13" spans="1:8">
      <c r="A13" s="7"/>
      <c r="B13" s="7"/>
      <c r="C13" s="4"/>
      <c r="D13" s="8"/>
      <c r="E13" s="12"/>
      <c r="F13" s="12"/>
      <c r="G13" s="12"/>
      <c r="H13" s="13">
        <f t="shared" si="0"/>
        <v>730</v>
      </c>
    </row>
    <row r="14" spans="1:8">
      <c r="A14" s="7"/>
      <c r="B14" s="7"/>
      <c r="C14" s="4"/>
      <c r="D14" s="8"/>
      <c r="E14" s="12"/>
      <c r="F14" s="12"/>
      <c r="G14" s="12"/>
      <c r="H14" s="13">
        <f t="shared" si="0"/>
        <v>730</v>
      </c>
    </row>
    <row r="15" spans="1:8">
      <c r="A15" s="7"/>
      <c r="B15" s="7"/>
      <c r="C15" s="4"/>
      <c r="D15" s="8"/>
      <c r="E15" s="12"/>
      <c r="F15" s="12"/>
      <c r="G15" s="12"/>
      <c r="H15" s="13">
        <f t="shared" si="0"/>
        <v>730</v>
      </c>
    </row>
    <row r="16" spans="1:8">
      <c r="A16" s="7"/>
      <c r="B16" s="7"/>
      <c r="C16" s="4"/>
      <c r="D16" s="8"/>
      <c r="E16" s="12"/>
      <c r="F16" s="12"/>
      <c r="G16" s="12"/>
      <c r="H16" s="13">
        <f t="shared" si="0"/>
        <v>730</v>
      </c>
    </row>
    <row r="17" spans="1:8">
      <c r="A17" s="7"/>
      <c r="B17" s="7"/>
      <c r="C17" s="4"/>
      <c r="D17" s="8"/>
      <c r="E17" s="12"/>
      <c r="F17" s="12"/>
      <c r="G17" s="12"/>
      <c r="H17" s="13">
        <f t="shared" si="0"/>
        <v>730</v>
      </c>
    </row>
    <row r="18" spans="1:8">
      <c r="A18" s="7"/>
      <c r="B18" s="7"/>
      <c r="C18" s="4"/>
      <c r="D18" s="8"/>
      <c r="E18" s="12"/>
      <c r="F18" s="12"/>
      <c r="G18" s="12"/>
      <c r="H18" s="13">
        <f t="shared" si="0"/>
        <v>730</v>
      </c>
    </row>
    <row r="19" spans="1:8">
      <c r="A19" s="7"/>
      <c r="B19" s="7"/>
      <c r="C19" s="4"/>
      <c r="D19" s="8"/>
      <c r="E19" s="12"/>
      <c r="F19" s="12"/>
      <c r="G19" s="12"/>
      <c r="H19" s="13">
        <f t="shared" si="0"/>
        <v>730</v>
      </c>
    </row>
    <row r="20" spans="1:8">
      <c r="A20" s="7"/>
      <c r="B20" s="7"/>
      <c r="C20" s="4"/>
      <c r="D20" s="8"/>
      <c r="E20" s="12"/>
      <c r="F20" s="12"/>
      <c r="G20" s="12"/>
      <c r="H20" s="13">
        <f t="shared" si="0"/>
        <v>730</v>
      </c>
    </row>
    <row r="21" spans="1:8">
      <c r="A21" s="7"/>
      <c r="B21" s="7"/>
      <c r="C21" s="4"/>
      <c r="D21" s="8"/>
      <c r="E21" s="12"/>
      <c r="F21" s="12"/>
      <c r="G21" s="12"/>
      <c r="H21" s="13">
        <f t="shared" si="0"/>
        <v>730</v>
      </c>
    </row>
    <row r="22" spans="1:8">
      <c r="A22" s="7"/>
      <c r="B22" s="7"/>
      <c r="C22" s="4"/>
      <c r="D22" s="8"/>
      <c r="E22" s="12"/>
      <c r="F22" s="12"/>
      <c r="G22" s="12"/>
      <c r="H22" s="13">
        <f t="shared" si="0"/>
        <v>730</v>
      </c>
    </row>
    <row r="23" spans="1:8">
      <c r="A23" s="7"/>
      <c r="B23" s="7"/>
      <c r="C23" s="4"/>
      <c r="D23" s="8"/>
      <c r="E23" s="12"/>
      <c r="F23" s="12"/>
      <c r="G23" s="12"/>
      <c r="H23" s="13">
        <f t="shared" si="0"/>
        <v>730</v>
      </c>
    </row>
    <row r="24" spans="1:8">
      <c r="A24" s="7"/>
      <c r="B24" s="7"/>
      <c r="C24" s="4"/>
      <c r="D24" s="8"/>
      <c r="E24" s="12"/>
      <c r="F24" s="12"/>
      <c r="G24" s="12"/>
      <c r="H24" s="13">
        <f t="shared" si="0"/>
        <v>730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كود غير صحيح" error="الكود غير موجود في شيت المخزن - أضفه هناك أولاً" xr:uid="{00000000-0002-0000-1D00-000000000000}">
          <x14:formula1>
            <xm:f>المخزن!$A$3:$A$43</xm:f>
          </x14:formula1>
          <x14:formula2>
            <xm:f>0</xm:f>
          </x14:formula2>
          <xm:sqref>C3:C24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المخزن</vt:lpstr>
      <vt:lpstr>4K حموده</vt:lpstr>
      <vt:lpstr>مكتب القاضي</vt:lpstr>
      <vt:lpstr>الاتشو</vt:lpstr>
      <vt:lpstr>علاء بوم ارض النت</vt:lpstr>
      <vt:lpstr>كيمو ميت ابو خالد</vt:lpstr>
      <vt:lpstr>KAZO</vt:lpstr>
      <vt:lpstr>LAFY</vt:lpstr>
      <vt:lpstr>POINT زفتي (جديد)</vt:lpstr>
      <vt:lpstr>POINT سعد زغلول (قديم)</vt:lpstr>
      <vt:lpstr>POWER ارض النت</vt:lpstr>
      <vt:lpstr>POWER زفتي</vt:lpstr>
      <vt:lpstr>احمد المنوفي</vt:lpstr>
      <vt:lpstr>السفير</vt:lpstr>
      <vt:lpstr>العالمي</vt:lpstr>
      <vt:lpstr>باهي التركي</vt:lpstr>
      <vt:lpstr>توتي دماص</vt:lpstr>
      <vt:lpstr>رضا محمد</vt:lpstr>
      <vt:lpstr>زومبي العشري</vt:lpstr>
      <vt:lpstr>محمد عرابي</vt:lpstr>
      <vt:lpstr>عم جمال</vt:lpstr>
      <vt:lpstr>فاير سيليكت</vt:lpstr>
      <vt:lpstr>فرانكو</vt:lpstr>
      <vt:lpstr>كريم بكر</vt:lpstr>
      <vt:lpstr>بفرا</vt:lpstr>
      <vt:lpstr>محل كوم النور</vt:lpstr>
      <vt:lpstr>محمد النجار</vt:lpstr>
      <vt:lpstr>محمود عبدالرسول</vt:lpstr>
      <vt:lpstr>مول المصطفي</vt:lpstr>
      <vt:lpstr>مصانع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20210546</cp:lastModifiedBy>
  <cp:revision>0</cp:revision>
  <dcterms:created xsi:type="dcterms:W3CDTF">2026-08-25T16:37:32Z</dcterms:created>
  <dcterms:modified xsi:type="dcterms:W3CDTF">2026-08-25T18:06:52Z</dcterms:modified>
  <dc:language>en-US</dc:language>
</cp:coreProperties>
</file>