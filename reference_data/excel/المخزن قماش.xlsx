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شش\المخزن\"/>
    </mc:Choice>
  </mc:AlternateContent>
  <xr:revisionPtr revIDLastSave="0" documentId="13_ncr:1_{FC04B751-AFB8-4E36-B3B4-1C67FADE9806}" xr6:coauthVersionLast="47" xr6:coauthVersionMax="47" xr10:uidLastSave="{00000000-0000-0000-0000-000000000000}"/>
  <bookViews>
    <workbookView xWindow="-108" yWindow="-108" windowWidth="23256" windowHeight="12456" xr2:uid="{133C090F-ACB5-4453-A5A8-D387AAC1C180}"/>
  </bookViews>
  <sheets>
    <sheet name="المخزن قماش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1" l="1"/>
  <c r="F38" i="1"/>
  <c r="F39" i="1"/>
  <c r="F36" i="1"/>
  <c r="F34" i="1"/>
  <c r="F33" i="1"/>
  <c r="F32" i="1"/>
  <c r="F31" i="1"/>
  <c r="N23" i="1"/>
  <c r="N22" i="1"/>
  <c r="N20" i="1"/>
  <c r="N19" i="1"/>
  <c r="F28" i="1"/>
  <c r="F27" i="1"/>
  <c r="F25" i="1"/>
  <c r="F24" i="1"/>
  <c r="F22" i="1"/>
  <c r="F21" i="1"/>
  <c r="F20" i="1"/>
  <c r="F19" i="1"/>
  <c r="N4" i="1"/>
  <c r="N6" i="1"/>
  <c r="N7" i="1"/>
  <c r="N8" i="1"/>
  <c r="N10" i="1"/>
  <c r="N11" i="1"/>
  <c r="N12" i="1"/>
  <c r="N14" i="1"/>
  <c r="N3" i="1"/>
  <c r="L16" i="1"/>
  <c r="N16" i="1" s="1"/>
  <c r="L15" i="1"/>
  <c r="N15" i="1" s="1"/>
  <c r="F13" i="1"/>
  <c r="F14" i="1"/>
  <c r="F15" i="1"/>
  <c r="F9" i="1"/>
  <c r="F10" i="1"/>
  <c r="F11" i="1"/>
  <c r="F12" i="1"/>
  <c r="F8" i="1"/>
  <c r="F6" i="1"/>
  <c r="F5" i="1"/>
  <c r="F4" i="1"/>
  <c r="F3" i="1"/>
  <c r="AG105" i="1"/>
  <c r="AG104" i="1"/>
  <c r="AG103" i="1"/>
  <c r="AG102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O68" i="1"/>
  <c r="AO67" i="1"/>
  <c r="AO66" i="1"/>
  <c r="AO65" i="1"/>
  <c r="AO64" i="1"/>
  <c r="AO63" i="1"/>
  <c r="AO62" i="1"/>
  <c r="AO61" i="1"/>
  <c r="AO60" i="1"/>
  <c r="AO59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</calcChain>
</file>

<file path=xl/sharedStrings.xml><?xml version="1.0" encoding="utf-8"?>
<sst xmlns="http://schemas.openxmlformats.org/spreadsheetml/2006/main" count="523" uniqueCount="90">
  <si>
    <t xml:space="preserve">بني 2 توب </t>
  </si>
  <si>
    <t xml:space="preserve">نيو كاردنيه </t>
  </si>
  <si>
    <t xml:space="preserve">زيتي </t>
  </si>
  <si>
    <t xml:space="preserve">ابيض 3 توب </t>
  </si>
  <si>
    <t xml:space="preserve"> 3 توب اسود</t>
  </si>
  <si>
    <t>نيو كاردنيه</t>
  </si>
  <si>
    <t xml:space="preserve"> 2 توب اوفويت</t>
  </si>
  <si>
    <t xml:space="preserve">انتر لوك قطن اوفويت </t>
  </si>
  <si>
    <t xml:space="preserve">بيج </t>
  </si>
  <si>
    <t xml:space="preserve">سمر ميلتون فوطه </t>
  </si>
  <si>
    <t>شانيه</t>
  </si>
  <si>
    <t>اسود</t>
  </si>
  <si>
    <t>اسم المورد</t>
  </si>
  <si>
    <t xml:space="preserve">الاجمالي </t>
  </si>
  <si>
    <t xml:space="preserve">سعر الخام </t>
  </si>
  <si>
    <t>وزن الخام</t>
  </si>
  <si>
    <t>الوان</t>
  </si>
  <si>
    <t xml:space="preserve">نوع الخام </t>
  </si>
  <si>
    <r>
      <rPr>
        <b/>
        <sz val="11"/>
        <color theme="1"/>
        <rFont val="Aptos Narrow"/>
        <family val="2"/>
        <scheme val="minor"/>
      </rPr>
      <t>المخزن</t>
    </r>
    <r>
      <rPr>
        <sz val="11"/>
        <color theme="1"/>
        <rFont val="Aptos Narrow"/>
        <family val="2"/>
        <scheme val="minor"/>
      </rPr>
      <t xml:space="preserve"> </t>
    </r>
  </si>
  <si>
    <t>شطرنج</t>
  </si>
  <si>
    <t>اوفويت</t>
  </si>
  <si>
    <t>عبود</t>
  </si>
  <si>
    <t>كاردونيل</t>
  </si>
  <si>
    <t xml:space="preserve">بني </t>
  </si>
  <si>
    <t>لبني</t>
  </si>
  <si>
    <t xml:space="preserve">وزن الخام </t>
  </si>
  <si>
    <t>سحب ل</t>
  </si>
  <si>
    <t>MB01</t>
  </si>
  <si>
    <t xml:space="preserve">كاردونيل </t>
  </si>
  <si>
    <t xml:space="preserve">الوان </t>
  </si>
  <si>
    <t>ابيض</t>
  </si>
  <si>
    <t>نبيتي</t>
  </si>
  <si>
    <t>زيتي</t>
  </si>
  <si>
    <t>نيو كاردنيل</t>
  </si>
  <si>
    <t>غياث تراب</t>
  </si>
  <si>
    <t>MB02</t>
  </si>
  <si>
    <t>تاريخ</t>
  </si>
  <si>
    <t>/4/2026</t>
  </si>
  <si>
    <t>انترلوك</t>
  </si>
  <si>
    <t>بني</t>
  </si>
  <si>
    <t>شانيه NR</t>
  </si>
  <si>
    <t xml:space="preserve">مصطفي حسن </t>
  </si>
  <si>
    <t>MB013</t>
  </si>
  <si>
    <t>ليفربول</t>
  </si>
  <si>
    <t>بني 1توب</t>
  </si>
  <si>
    <t>اسود 3توب</t>
  </si>
  <si>
    <t>اوفويت 3توب</t>
  </si>
  <si>
    <t xml:space="preserve">نبيتي 2توب </t>
  </si>
  <si>
    <t xml:space="preserve">انترلوك </t>
  </si>
  <si>
    <t xml:space="preserve">اسود </t>
  </si>
  <si>
    <t>بانجاني</t>
  </si>
  <si>
    <t xml:space="preserve">غياس تراب </t>
  </si>
  <si>
    <t>MBM05</t>
  </si>
  <si>
    <t xml:space="preserve"> بيج ا توب</t>
  </si>
  <si>
    <t>MB0(6-7)</t>
  </si>
  <si>
    <t>بيجي</t>
  </si>
  <si>
    <t>/5/2026</t>
  </si>
  <si>
    <t>MB08</t>
  </si>
  <si>
    <t>MB09</t>
  </si>
  <si>
    <t>B010</t>
  </si>
  <si>
    <t xml:space="preserve">شانيه </t>
  </si>
  <si>
    <t>انترلوك NR</t>
  </si>
  <si>
    <t>مصطفي حسن</t>
  </si>
  <si>
    <t>B02</t>
  </si>
  <si>
    <t>B07</t>
  </si>
  <si>
    <t xml:space="preserve">بييج </t>
  </si>
  <si>
    <t xml:space="preserve">سمر ميلتون </t>
  </si>
  <si>
    <t xml:space="preserve">غياث تراب </t>
  </si>
  <si>
    <t xml:space="preserve">نبيتي </t>
  </si>
  <si>
    <t xml:space="preserve">لبني </t>
  </si>
  <si>
    <t>بيج 1توب</t>
  </si>
  <si>
    <t>MB011</t>
  </si>
  <si>
    <t xml:space="preserve">نيو كاردونيه ابيض </t>
  </si>
  <si>
    <t xml:space="preserve">غياث </t>
  </si>
  <si>
    <t>العدد</t>
  </si>
  <si>
    <t>مبرد الوان (سمر ميلتون )</t>
  </si>
  <si>
    <t>B101</t>
  </si>
  <si>
    <t>غياث</t>
  </si>
  <si>
    <t>B102</t>
  </si>
  <si>
    <t xml:space="preserve">شانيه  </t>
  </si>
  <si>
    <t>B103</t>
  </si>
  <si>
    <t>B104</t>
  </si>
  <si>
    <t xml:space="preserve">بولو ريب </t>
  </si>
  <si>
    <t xml:space="preserve">lion </t>
  </si>
  <si>
    <t>B110</t>
  </si>
  <si>
    <t>B111</t>
  </si>
  <si>
    <t xml:space="preserve">ميلتون </t>
  </si>
  <si>
    <t xml:space="preserve">كافيه </t>
  </si>
  <si>
    <t>ايس</t>
  </si>
  <si>
    <t>حديدي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</si>
</sst>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ج.م.‏-C01]_-;\-* #,##0.00\ [$ج.م.‏-C01]_-;_-* &quot;-&quot;??\ [$ج.م.‏-C01]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0" xfId="0" applyFill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3" fillId="3" borderId="0" xfId="0" applyFont="1" applyFill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CB9B-D908-4EDC-8E19-E9FAA39A4844}">
  <dimension ref="A1:AQ123"/>
  <sheetViews>
    <sheetView rightToLeft="1" tabSelected="1" topLeftCell="A21" zoomScale="82" workbookViewId="0">
      <selection activeCell="A36" sqref="A36:A39"/>
    </sheetView>
  </sheetViews>
  <sheetFormatPr defaultRowHeight="14.4" x14ac:dyDescent="0.3"/>
  <cols>
    <col min="1" max="1" width="17.77734375" customWidth="1"/>
    <col min="2" max="2" width="13.88671875" customWidth="1"/>
    <col min="3" max="3" width="13.33203125" customWidth="1"/>
    <col min="4" max="4" width="10.5546875" customWidth="1"/>
    <col min="5" max="5" width="18.77734375" customWidth="1"/>
    <col min="6" max="6" width="18.21875" customWidth="1"/>
    <col min="8" max="8" width="12.6640625" customWidth="1"/>
    <col min="9" max="9" width="11" customWidth="1"/>
    <col min="10" max="10" width="25.44140625" customWidth="1"/>
    <col min="11" max="11" width="15.5546875" customWidth="1"/>
    <col min="13" max="13" width="15.5546875" customWidth="1"/>
    <col min="14" max="14" width="22.109375" customWidth="1"/>
    <col min="15" max="15" width="13.6640625" customWidth="1"/>
    <col min="17" max="18" width="8.88671875" customWidth="1"/>
    <col min="19" max="19" width="16.109375" customWidth="1"/>
    <col min="20" max="20" width="9.88671875" customWidth="1"/>
    <col min="21" max="21" width="10.33203125" customWidth="1"/>
    <col min="22" max="22" width="11.88671875" customWidth="1"/>
    <col min="23" max="23" width="15" customWidth="1"/>
    <col min="24" max="24" width="14.33203125" customWidth="1"/>
    <col min="25" max="25" width="11.109375" customWidth="1"/>
    <col min="26" max="26" width="10.5546875" customWidth="1"/>
    <col min="27" max="27" width="12.44140625" customWidth="1"/>
    <col min="28" max="28" width="11.44140625" customWidth="1"/>
    <col min="29" max="29" width="13.77734375" customWidth="1"/>
    <col min="30" max="30" width="12.44140625" customWidth="1"/>
    <col min="31" max="31" width="17.44140625" customWidth="1"/>
    <col min="32" max="32" width="14.44140625" customWidth="1"/>
    <col min="33" max="33" width="17.109375" customWidth="1"/>
    <col min="34" max="34" width="14.5546875" customWidth="1"/>
    <col min="35" max="35" width="8.88671875" customWidth="1"/>
    <col min="36" max="36" width="13.88671875" customWidth="1"/>
    <col min="41" max="41" width="16.88671875" customWidth="1"/>
  </cols>
  <sheetData>
    <row r="1" spans="1:34" x14ac:dyDescent="0.3">
      <c r="A1" s="13" t="s">
        <v>18</v>
      </c>
      <c r="B1" s="13"/>
      <c r="C1" s="13"/>
      <c r="D1" s="13"/>
      <c r="E1" s="13"/>
      <c r="F1" s="13"/>
      <c r="AC1" s="13" t="s">
        <v>18</v>
      </c>
      <c r="AD1" s="13"/>
      <c r="AE1" s="13"/>
      <c r="AF1" s="13"/>
      <c r="AG1" s="13"/>
      <c r="AH1" s="13"/>
    </row>
    <row r="2" spans="1:34" x14ac:dyDescent="0.3">
      <c r="A2" s="2" t="s">
        <v>17</v>
      </c>
      <c r="B2" s="2" t="s">
        <v>16</v>
      </c>
      <c r="C2" s="2" t="s">
        <v>74</v>
      </c>
      <c r="D2" s="2" t="s">
        <v>15</v>
      </c>
      <c r="E2" s="2" t="s">
        <v>14</v>
      </c>
      <c r="F2" s="3" t="s">
        <v>13</v>
      </c>
      <c r="G2" s="2" t="s">
        <v>12</v>
      </c>
      <c r="I2" s="2" t="s">
        <v>26</v>
      </c>
      <c r="J2" s="2" t="s">
        <v>17</v>
      </c>
      <c r="K2" s="2" t="s">
        <v>29</v>
      </c>
      <c r="L2" s="2" t="s">
        <v>25</v>
      </c>
      <c r="M2" s="2" t="s">
        <v>14</v>
      </c>
      <c r="N2" s="5" t="s">
        <v>13</v>
      </c>
      <c r="O2" s="5" t="s">
        <v>12</v>
      </c>
      <c r="P2" s="5" t="s">
        <v>36</v>
      </c>
      <c r="AC2" s="2" t="s">
        <v>17</v>
      </c>
      <c r="AD2" s="2" t="s">
        <v>16</v>
      </c>
      <c r="AE2" s="2" t="s">
        <v>15</v>
      </c>
      <c r="AF2" s="2" t="s">
        <v>14</v>
      </c>
      <c r="AG2" s="3" t="s">
        <v>13</v>
      </c>
      <c r="AH2" s="2" t="s">
        <v>12</v>
      </c>
    </row>
    <row r="3" spans="1:34" x14ac:dyDescent="0.3">
      <c r="A3" s="1" t="s">
        <v>19</v>
      </c>
      <c r="B3" s="1" t="s">
        <v>11</v>
      </c>
      <c r="C3" s="1"/>
      <c r="D3" s="1">
        <v>41.9</v>
      </c>
      <c r="E3" s="1">
        <v>195</v>
      </c>
      <c r="F3" s="4">
        <f t="shared" ref="F3:F6" si="0">E3*D3</f>
        <v>8170.5</v>
      </c>
      <c r="G3" s="1" t="s">
        <v>21</v>
      </c>
      <c r="I3" s="1" t="s">
        <v>76</v>
      </c>
      <c r="J3" s="1" t="s">
        <v>75</v>
      </c>
      <c r="K3" s="1" t="s">
        <v>60</v>
      </c>
      <c r="L3" s="1">
        <v>22.8</v>
      </c>
      <c r="M3" s="1">
        <v>310</v>
      </c>
      <c r="N3" s="4">
        <f>M3*L3</f>
        <v>7068</v>
      </c>
      <c r="O3" s="1" t="s">
        <v>77</v>
      </c>
      <c r="P3" s="1"/>
      <c r="AC3" s="1" t="s">
        <v>9</v>
      </c>
      <c r="AD3" s="1" t="s">
        <v>11</v>
      </c>
      <c r="AE3" s="1">
        <v>31.65</v>
      </c>
      <c r="AF3" s="1">
        <v>280</v>
      </c>
      <c r="AG3" s="4">
        <f t="shared" ref="AG3:AG29" si="1">AF3*AE3</f>
        <v>8862</v>
      </c>
      <c r="AH3" s="1" t="s">
        <v>51</v>
      </c>
    </row>
    <row r="4" spans="1:34" x14ac:dyDescent="0.3">
      <c r="A4" s="1" t="s">
        <v>19</v>
      </c>
      <c r="B4" s="1" t="s">
        <v>8</v>
      </c>
      <c r="C4" s="1"/>
      <c r="D4" s="1">
        <v>16.75</v>
      </c>
      <c r="E4" s="1">
        <v>195</v>
      </c>
      <c r="F4" s="4">
        <f t="shared" si="0"/>
        <v>3266.25</v>
      </c>
      <c r="G4" s="1" t="s">
        <v>21</v>
      </c>
      <c r="I4" s="1"/>
      <c r="J4" s="1" t="s">
        <v>75</v>
      </c>
      <c r="K4" s="1" t="s">
        <v>11</v>
      </c>
      <c r="L4" s="1">
        <v>22.1</v>
      </c>
      <c r="M4" s="1">
        <v>310</v>
      </c>
      <c r="N4" s="4">
        <f t="shared" ref="N4:N16" si="2">M4*L4</f>
        <v>6851</v>
      </c>
      <c r="O4" s="1" t="s">
        <v>77</v>
      </c>
      <c r="P4" s="1"/>
      <c r="AC4" s="1" t="s">
        <v>9</v>
      </c>
      <c r="AD4" s="1" t="s">
        <v>11</v>
      </c>
      <c r="AE4" s="1">
        <v>33.200000000000003</v>
      </c>
      <c r="AF4" s="1">
        <v>310</v>
      </c>
      <c r="AG4" s="4">
        <f t="shared" si="1"/>
        <v>10292</v>
      </c>
      <c r="AH4" s="1" t="s">
        <v>51</v>
      </c>
    </row>
    <row r="5" spans="1:34" x14ac:dyDescent="0.3">
      <c r="A5" s="1" t="s">
        <v>19</v>
      </c>
      <c r="B5" s="1" t="s">
        <v>2</v>
      </c>
      <c r="C5" s="1"/>
      <c r="D5" s="1">
        <v>42.9</v>
      </c>
      <c r="E5" s="1">
        <v>195</v>
      </c>
      <c r="F5" s="4">
        <f t="shared" si="0"/>
        <v>8365.5</v>
      </c>
      <c r="G5" s="1" t="s">
        <v>21</v>
      </c>
      <c r="I5" s="1"/>
      <c r="J5" s="1"/>
      <c r="K5" s="1"/>
      <c r="L5" s="1"/>
      <c r="M5" s="1"/>
      <c r="N5" s="4"/>
      <c r="O5" s="1"/>
      <c r="P5" s="1"/>
      <c r="AC5" s="1" t="s">
        <v>9</v>
      </c>
      <c r="AD5" s="1" t="s">
        <v>8</v>
      </c>
      <c r="AE5" s="1">
        <v>15.6</v>
      </c>
      <c r="AF5" s="1">
        <v>310</v>
      </c>
      <c r="AG5" s="4">
        <f t="shared" si="1"/>
        <v>4836</v>
      </c>
      <c r="AH5" s="1" t="s">
        <v>51</v>
      </c>
    </row>
    <row r="6" spans="1:34" x14ac:dyDescent="0.3">
      <c r="A6" s="1" t="s">
        <v>19</v>
      </c>
      <c r="B6" s="1" t="s">
        <v>20</v>
      </c>
      <c r="C6" s="1"/>
      <c r="D6" s="1">
        <v>84</v>
      </c>
      <c r="E6" s="1">
        <v>195</v>
      </c>
      <c r="F6" s="4">
        <f t="shared" si="0"/>
        <v>16380</v>
      </c>
      <c r="G6" s="1" t="s">
        <v>21</v>
      </c>
      <c r="I6" s="1" t="s">
        <v>78</v>
      </c>
      <c r="J6" s="1" t="s">
        <v>75</v>
      </c>
      <c r="K6" s="1" t="s">
        <v>79</v>
      </c>
      <c r="L6" s="1">
        <v>23.5</v>
      </c>
      <c r="M6" s="1">
        <v>310</v>
      </c>
      <c r="N6" s="4">
        <f t="shared" si="2"/>
        <v>7285</v>
      </c>
      <c r="O6" s="1" t="s">
        <v>77</v>
      </c>
      <c r="P6" s="1"/>
      <c r="AC6" s="1" t="s">
        <v>9</v>
      </c>
      <c r="AD6" s="1" t="s">
        <v>10</v>
      </c>
      <c r="AE6" s="1">
        <v>18.149999999999999</v>
      </c>
      <c r="AF6" s="1">
        <v>310</v>
      </c>
      <c r="AG6" s="4">
        <f t="shared" si="1"/>
        <v>5626.5</v>
      </c>
      <c r="AH6" s="1" t="s">
        <v>51</v>
      </c>
    </row>
    <row r="7" spans="1:34" x14ac:dyDescent="0.3">
      <c r="A7" s="1"/>
      <c r="B7" s="1"/>
      <c r="C7" s="1"/>
      <c r="D7" s="1"/>
      <c r="E7" s="1"/>
      <c r="F7" s="1"/>
      <c r="G7" s="1"/>
      <c r="I7" s="1"/>
      <c r="J7" s="1" t="s">
        <v>75</v>
      </c>
      <c r="K7" s="1" t="s">
        <v>49</v>
      </c>
      <c r="L7" s="1">
        <v>22.1</v>
      </c>
      <c r="M7" s="1">
        <v>310</v>
      </c>
      <c r="N7" s="4">
        <f t="shared" si="2"/>
        <v>6851</v>
      </c>
      <c r="O7" s="1" t="s">
        <v>77</v>
      </c>
      <c r="P7" s="1"/>
      <c r="AC7" s="1" t="s">
        <v>9</v>
      </c>
      <c r="AD7" s="1" t="s">
        <v>8</v>
      </c>
      <c r="AE7" s="1">
        <v>19.399999999999999</v>
      </c>
      <c r="AF7" s="1">
        <v>310</v>
      </c>
      <c r="AG7" s="4">
        <f t="shared" si="1"/>
        <v>6014</v>
      </c>
      <c r="AH7" s="1" t="s">
        <v>51</v>
      </c>
    </row>
    <row r="8" spans="1:34" x14ac:dyDescent="0.3">
      <c r="A8" s="1" t="s">
        <v>48</v>
      </c>
      <c r="B8" s="1" t="s">
        <v>11</v>
      </c>
      <c r="C8" s="1">
        <v>2</v>
      </c>
      <c r="D8" s="1">
        <v>54</v>
      </c>
      <c r="E8" s="1">
        <v>390</v>
      </c>
      <c r="F8" s="4">
        <f>E8*D8</f>
        <v>21060</v>
      </c>
      <c r="G8" s="1" t="s">
        <v>73</v>
      </c>
      <c r="I8" s="1"/>
      <c r="J8" s="1" t="s">
        <v>75</v>
      </c>
      <c r="K8" s="1" t="s">
        <v>8</v>
      </c>
      <c r="L8" s="1">
        <v>22.4</v>
      </c>
      <c r="M8" s="1">
        <v>310</v>
      </c>
      <c r="N8" s="4">
        <f t="shared" si="2"/>
        <v>6944</v>
      </c>
      <c r="O8" s="1" t="s">
        <v>77</v>
      </c>
      <c r="P8" s="1"/>
      <c r="AC8" s="1" t="s">
        <v>7</v>
      </c>
      <c r="AD8" s="1" t="s">
        <v>6</v>
      </c>
      <c r="AE8" s="1">
        <v>45.6</v>
      </c>
      <c r="AF8" s="1">
        <v>390</v>
      </c>
      <c r="AG8" s="4">
        <f t="shared" si="1"/>
        <v>17784</v>
      </c>
      <c r="AH8" s="1" t="s">
        <v>51</v>
      </c>
    </row>
    <row r="9" spans="1:34" x14ac:dyDescent="0.3">
      <c r="A9" s="1" t="s">
        <v>48</v>
      </c>
      <c r="B9" s="1" t="s">
        <v>60</v>
      </c>
      <c r="C9" s="1">
        <v>2</v>
      </c>
      <c r="D9" s="1">
        <v>53.4</v>
      </c>
      <c r="E9" s="1">
        <v>390</v>
      </c>
      <c r="F9" s="4">
        <f t="shared" ref="F9:F15" si="3">E9*D9</f>
        <v>20826</v>
      </c>
      <c r="G9" s="1" t="s">
        <v>73</v>
      </c>
      <c r="I9" s="1"/>
      <c r="J9" s="1"/>
      <c r="K9" s="1"/>
      <c r="L9" s="1"/>
      <c r="M9" s="1"/>
      <c r="N9" s="4"/>
      <c r="O9" s="1"/>
      <c r="P9" s="1"/>
      <c r="AC9" s="1" t="s">
        <v>5</v>
      </c>
      <c r="AD9" s="1" t="s">
        <v>4</v>
      </c>
      <c r="AE9" s="1">
        <v>60.4</v>
      </c>
      <c r="AF9" s="1">
        <v>240</v>
      </c>
      <c r="AG9" s="4">
        <f t="shared" si="1"/>
        <v>14496</v>
      </c>
      <c r="AH9" s="1" t="s">
        <v>51</v>
      </c>
    </row>
    <row r="10" spans="1:34" x14ac:dyDescent="0.3">
      <c r="A10" s="1" t="s">
        <v>48</v>
      </c>
      <c r="B10" s="1" t="s">
        <v>8</v>
      </c>
      <c r="C10" s="1">
        <v>1</v>
      </c>
      <c r="D10" s="1">
        <v>26.2</v>
      </c>
      <c r="E10" s="1">
        <v>390</v>
      </c>
      <c r="F10" s="4">
        <f t="shared" si="3"/>
        <v>10218</v>
      </c>
      <c r="G10" s="1" t="s">
        <v>73</v>
      </c>
      <c r="I10" s="1" t="s">
        <v>80</v>
      </c>
      <c r="J10" s="1" t="s">
        <v>48</v>
      </c>
      <c r="K10" s="1" t="s">
        <v>60</v>
      </c>
      <c r="L10" s="1">
        <v>25.5</v>
      </c>
      <c r="M10" s="1">
        <v>390</v>
      </c>
      <c r="N10" s="4">
        <f t="shared" si="2"/>
        <v>9945</v>
      </c>
      <c r="O10" s="1" t="s">
        <v>73</v>
      </c>
      <c r="P10" s="1"/>
      <c r="AC10" s="1" t="s">
        <v>1</v>
      </c>
      <c r="AD10" s="1" t="s">
        <v>3</v>
      </c>
      <c r="AE10" s="1">
        <v>77.7</v>
      </c>
      <c r="AF10" s="1">
        <v>240</v>
      </c>
      <c r="AG10" s="4">
        <f t="shared" si="1"/>
        <v>18648</v>
      </c>
      <c r="AH10" s="1" t="s">
        <v>51</v>
      </c>
    </row>
    <row r="11" spans="1:34" x14ac:dyDescent="0.3">
      <c r="A11" s="1" t="s">
        <v>48</v>
      </c>
      <c r="B11" s="1" t="s">
        <v>2</v>
      </c>
      <c r="C11" s="1">
        <v>1</v>
      </c>
      <c r="D11" s="1">
        <v>29.1</v>
      </c>
      <c r="E11" s="1">
        <v>390</v>
      </c>
      <c r="F11" s="4">
        <f t="shared" si="3"/>
        <v>11349</v>
      </c>
      <c r="G11" s="1" t="s">
        <v>73</v>
      </c>
      <c r="I11" s="1"/>
      <c r="J11" s="1" t="s">
        <v>48</v>
      </c>
      <c r="K11" s="1" t="s">
        <v>2</v>
      </c>
      <c r="L11" s="1">
        <v>29.1</v>
      </c>
      <c r="M11" s="1">
        <v>390</v>
      </c>
      <c r="N11" s="4">
        <f t="shared" si="2"/>
        <v>11349</v>
      </c>
      <c r="O11" s="1" t="s">
        <v>73</v>
      </c>
      <c r="P11" s="1"/>
      <c r="AC11" s="1" t="s">
        <v>1</v>
      </c>
      <c r="AD11" s="1" t="s">
        <v>2</v>
      </c>
      <c r="AE11" s="1">
        <v>24.5</v>
      </c>
      <c r="AF11" s="1">
        <v>240</v>
      </c>
      <c r="AG11" s="4">
        <f t="shared" si="1"/>
        <v>5880</v>
      </c>
      <c r="AH11" s="1" t="s">
        <v>51</v>
      </c>
    </row>
    <row r="12" spans="1:34" x14ac:dyDescent="0.3">
      <c r="A12" s="1"/>
      <c r="B12" s="1"/>
      <c r="C12" s="1"/>
      <c r="D12" s="1"/>
      <c r="E12" s="1"/>
      <c r="F12" s="4">
        <f t="shared" si="3"/>
        <v>0</v>
      </c>
      <c r="G12" s="1"/>
      <c r="I12" s="1"/>
      <c r="J12" s="1" t="s">
        <v>48</v>
      </c>
      <c r="K12" s="1" t="s">
        <v>49</v>
      </c>
      <c r="L12" s="1">
        <v>25.2</v>
      </c>
      <c r="M12" s="1">
        <v>390</v>
      </c>
      <c r="N12" s="4">
        <f t="shared" si="2"/>
        <v>9828</v>
      </c>
      <c r="O12" s="1" t="s">
        <v>73</v>
      </c>
      <c r="P12" s="1"/>
      <c r="AC12" s="1" t="s">
        <v>1</v>
      </c>
      <c r="AD12" s="1" t="s">
        <v>0</v>
      </c>
      <c r="AE12" s="1">
        <v>55.4</v>
      </c>
      <c r="AF12" s="1">
        <v>240</v>
      </c>
      <c r="AG12" s="4">
        <f t="shared" si="1"/>
        <v>13296</v>
      </c>
      <c r="AH12" s="1" t="s">
        <v>51</v>
      </c>
    </row>
    <row r="13" spans="1:34" x14ac:dyDescent="0.3">
      <c r="A13" s="1" t="s">
        <v>75</v>
      </c>
      <c r="B13" s="1" t="s">
        <v>49</v>
      </c>
      <c r="C13" s="1">
        <v>2</v>
      </c>
      <c r="D13" s="1">
        <v>44.2</v>
      </c>
      <c r="E13" s="1">
        <v>310</v>
      </c>
      <c r="F13" s="4">
        <f t="shared" si="3"/>
        <v>13702</v>
      </c>
      <c r="G13" s="1" t="s">
        <v>73</v>
      </c>
      <c r="I13" s="1"/>
      <c r="J13" s="1"/>
      <c r="K13" s="1"/>
      <c r="L13" s="1"/>
      <c r="M13" s="1"/>
      <c r="N13" s="4"/>
      <c r="O13" s="1"/>
      <c r="P13" s="1"/>
      <c r="AC13" s="1" t="s">
        <v>19</v>
      </c>
      <c r="AD13" s="1" t="s">
        <v>11</v>
      </c>
      <c r="AE13" s="1">
        <v>41.9</v>
      </c>
      <c r="AF13" s="1">
        <v>195</v>
      </c>
      <c r="AG13" s="4">
        <f t="shared" si="1"/>
        <v>8170.5</v>
      </c>
      <c r="AH13" s="1" t="s">
        <v>21</v>
      </c>
    </row>
    <row r="14" spans="1:34" x14ac:dyDescent="0.3">
      <c r="A14" s="1"/>
      <c r="B14" s="1" t="s">
        <v>8</v>
      </c>
      <c r="C14" s="1">
        <v>2</v>
      </c>
      <c r="D14" s="1">
        <v>46.3</v>
      </c>
      <c r="E14" s="1">
        <v>310</v>
      </c>
      <c r="F14" s="4">
        <f t="shared" si="3"/>
        <v>14353</v>
      </c>
      <c r="G14" s="1" t="s">
        <v>73</v>
      </c>
      <c r="I14" s="1" t="s">
        <v>81</v>
      </c>
      <c r="J14" s="1" t="s">
        <v>48</v>
      </c>
      <c r="K14" s="1" t="s">
        <v>8</v>
      </c>
      <c r="L14" s="1">
        <v>26.2</v>
      </c>
      <c r="M14" s="1">
        <v>390</v>
      </c>
      <c r="N14" s="4">
        <f t="shared" si="2"/>
        <v>10218</v>
      </c>
      <c r="O14" s="1" t="s">
        <v>73</v>
      </c>
      <c r="P14" s="1"/>
      <c r="AC14" s="1" t="s">
        <v>19</v>
      </c>
      <c r="AD14" s="1" t="s">
        <v>8</v>
      </c>
      <c r="AE14" s="1">
        <v>16.75</v>
      </c>
      <c r="AF14" s="1">
        <v>195</v>
      </c>
      <c r="AG14" s="4">
        <f t="shared" si="1"/>
        <v>3266.25</v>
      </c>
      <c r="AH14" s="1" t="s">
        <v>21</v>
      </c>
    </row>
    <row r="15" spans="1:34" x14ac:dyDescent="0.3">
      <c r="A15" s="1"/>
      <c r="B15" s="1" t="s">
        <v>60</v>
      </c>
      <c r="C15" s="1">
        <v>1</v>
      </c>
      <c r="D15" s="1">
        <v>22.4</v>
      </c>
      <c r="E15" s="1">
        <v>310</v>
      </c>
      <c r="F15" s="4">
        <f t="shared" si="3"/>
        <v>6944</v>
      </c>
      <c r="G15" s="1" t="s">
        <v>73</v>
      </c>
      <c r="I15" s="1"/>
      <c r="J15" s="1" t="s">
        <v>48</v>
      </c>
      <c r="K15" s="1" t="s">
        <v>49</v>
      </c>
      <c r="L15" s="1">
        <f>D8-L12</f>
        <v>28.8</v>
      </c>
      <c r="M15" s="1">
        <v>390</v>
      </c>
      <c r="N15" s="4">
        <f t="shared" si="2"/>
        <v>11232</v>
      </c>
      <c r="O15" s="1" t="s">
        <v>73</v>
      </c>
      <c r="P15" s="1"/>
      <c r="AC15" s="1" t="s">
        <v>19</v>
      </c>
      <c r="AD15" s="1" t="s">
        <v>2</v>
      </c>
      <c r="AE15" s="1">
        <v>42.9</v>
      </c>
      <c r="AF15" s="1">
        <v>195</v>
      </c>
      <c r="AG15" s="4">
        <f t="shared" si="1"/>
        <v>8365.5</v>
      </c>
      <c r="AH15" s="1" t="s">
        <v>21</v>
      </c>
    </row>
    <row r="16" spans="1:34" x14ac:dyDescent="0.3">
      <c r="A16" s="1"/>
      <c r="B16" s="1"/>
      <c r="C16" s="1"/>
      <c r="D16" s="1"/>
      <c r="E16" s="1"/>
      <c r="F16" s="4"/>
      <c r="G16" s="1"/>
      <c r="I16" s="1"/>
      <c r="J16" s="1" t="s">
        <v>48</v>
      </c>
      <c r="K16" s="1" t="s">
        <v>10</v>
      </c>
      <c r="L16" s="1">
        <f>D9-L10</f>
        <v>27.9</v>
      </c>
      <c r="M16" s="1">
        <v>390</v>
      </c>
      <c r="N16" s="4">
        <f t="shared" si="2"/>
        <v>10881</v>
      </c>
      <c r="O16" s="1" t="s">
        <v>73</v>
      </c>
      <c r="P16" s="1"/>
      <c r="AC16" s="1" t="s">
        <v>19</v>
      </c>
      <c r="AD16" s="1" t="s">
        <v>20</v>
      </c>
      <c r="AE16" s="1">
        <v>84</v>
      </c>
      <c r="AF16" s="1">
        <v>195</v>
      </c>
      <c r="AG16" s="4">
        <f t="shared" si="1"/>
        <v>16380</v>
      </c>
      <c r="AH16" s="1" t="s">
        <v>21</v>
      </c>
    </row>
    <row r="17" spans="1:43" x14ac:dyDescent="0.3">
      <c r="A17" s="1"/>
      <c r="B17" s="1"/>
      <c r="C17" s="1"/>
      <c r="D17" s="1"/>
      <c r="E17" s="1"/>
      <c r="F17" s="4"/>
      <c r="G17" s="1"/>
      <c r="I17" s="1"/>
      <c r="J17" s="1"/>
      <c r="K17" s="1"/>
      <c r="L17" s="1"/>
      <c r="M17" s="1"/>
      <c r="N17" s="1"/>
      <c r="O17" s="1"/>
      <c r="P17" s="1"/>
      <c r="AC17" s="1" t="s">
        <v>22</v>
      </c>
      <c r="AD17" s="1" t="s">
        <v>11</v>
      </c>
      <c r="AE17" s="1">
        <v>47.7</v>
      </c>
      <c r="AF17" s="1">
        <v>185</v>
      </c>
      <c r="AG17" s="4">
        <f t="shared" si="1"/>
        <v>8824.5</v>
      </c>
      <c r="AH17" s="1" t="s">
        <v>21</v>
      </c>
    </row>
    <row r="18" spans="1:43" x14ac:dyDescent="0.3">
      <c r="A18" s="8"/>
      <c r="B18" s="8"/>
      <c r="C18" s="8"/>
      <c r="D18" s="8"/>
      <c r="E18" s="8"/>
      <c r="F18" s="9"/>
      <c r="G18" s="8"/>
      <c r="H18" s="10"/>
      <c r="I18" s="8"/>
      <c r="J18" s="8"/>
      <c r="K18" s="8"/>
      <c r="L18" s="8"/>
      <c r="M18" s="8"/>
      <c r="N18" s="8"/>
      <c r="O18" s="8"/>
      <c r="P18" s="8"/>
      <c r="AC18" s="1" t="s">
        <v>22</v>
      </c>
      <c r="AD18" s="1" t="s">
        <v>23</v>
      </c>
      <c r="AE18" s="1">
        <v>19.899999999999999</v>
      </c>
      <c r="AF18" s="1">
        <v>185</v>
      </c>
      <c r="AG18" s="4">
        <f t="shared" si="1"/>
        <v>3681.4999999999995</v>
      </c>
      <c r="AH18" s="1" t="s">
        <v>21</v>
      </c>
    </row>
    <row r="19" spans="1:43" x14ac:dyDescent="0.3">
      <c r="A19" s="1" t="s">
        <v>19</v>
      </c>
      <c r="B19" s="1" t="s">
        <v>11</v>
      </c>
      <c r="C19" s="1"/>
      <c r="D19" s="1">
        <v>41.9</v>
      </c>
      <c r="E19" s="1">
        <v>195</v>
      </c>
      <c r="F19" s="4">
        <f t="shared" ref="F19:F22" si="4">E19*D19</f>
        <v>8170.5</v>
      </c>
      <c r="G19" s="1" t="s">
        <v>21</v>
      </c>
      <c r="I19" s="11" t="s">
        <v>84</v>
      </c>
      <c r="J19" s="11" t="s">
        <v>48</v>
      </c>
      <c r="K19" s="11" t="s">
        <v>60</v>
      </c>
      <c r="L19" s="11">
        <v>26</v>
      </c>
      <c r="M19" s="11">
        <v>370</v>
      </c>
      <c r="N19" s="12">
        <f>M19*L19</f>
        <v>9620</v>
      </c>
      <c r="O19" s="11" t="s">
        <v>83</v>
      </c>
      <c r="P19" s="1"/>
      <c r="AC19" s="1" t="s">
        <v>22</v>
      </c>
      <c r="AD19" s="1" t="s">
        <v>24</v>
      </c>
      <c r="AE19" s="1">
        <v>21.4</v>
      </c>
      <c r="AF19" s="1">
        <v>185</v>
      </c>
      <c r="AG19" s="4">
        <f t="shared" si="1"/>
        <v>3958.9999999999995</v>
      </c>
      <c r="AH19" s="1" t="s">
        <v>21</v>
      </c>
    </row>
    <row r="20" spans="1:43" x14ac:dyDescent="0.3">
      <c r="A20" s="1" t="s">
        <v>19</v>
      </c>
      <c r="B20" s="1" t="s">
        <v>8</v>
      </c>
      <c r="C20" s="1"/>
      <c r="D20" s="1">
        <v>16.75</v>
      </c>
      <c r="E20" s="1">
        <v>195</v>
      </c>
      <c r="F20" s="4">
        <f t="shared" si="4"/>
        <v>3266.25</v>
      </c>
      <c r="G20" s="1" t="s">
        <v>21</v>
      </c>
      <c r="I20" s="11" t="s">
        <v>84</v>
      </c>
      <c r="J20" s="11" t="s">
        <v>48</v>
      </c>
      <c r="K20" s="11" t="s">
        <v>11</v>
      </c>
      <c r="L20" s="11">
        <v>26.4</v>
      </c>
      <c r="M20" s="11">
        <v>370</v>
      </c>
      <c r="N20" s="12">
        <f>M20*L20</f>
        <v>9768</v>
      </c>
      <c r="O20" s="11" t="s">
        <v>83</v>
      </c>
      <c r="P20" s="1"/>
      <c r="AC20" s="1" t="s">
        <v>22</v>
      </c>
      <c r="AD20" s="1" t="s">
        <v>20</v>
      </c>
      <c r="AE20" s="1">
        <v>117.7</v>
      </c>
      <c r="AF20" s="1">
        <v>185</v>
      </c>
      <c r="AG20" s="4">
        <f t="shared" si="1"/>
        <v>21774.5</v>
      </c>
      <c r="AH20" s="1" t="s">
        <v>21</v>
      </c>
    </row>
    <row r="21" spans="1:43" x14ac:dyDescent="0.3">
      <c r="A21" s="1" t="s">
        <v>19</v>
      </c>
      <c r="B21" s="1" t="s">
        <v>2</v>
      </c>
      <c r="C21" s="1"/>
      <c r="D21" s="1">
        <v>42.9</v>
      </c>
      <c r="E21" s="1">
        <v>195</v>
      </c>
      <c r="F21" s="4">
        <f t="shared" si="4"/>
        <v>8365.5</v>
      </c>
      <c r="G21" s="1" t="s">
        <v>21</v>
      </c>
      <c r="I21" s="1"/>
      <c r="J21" s="1"/>
      <c r="K21" s="1"/>
      <c r="L21" s="1"/>
      <c r="M21" s="1"/>
      <c r="N21" s="1"/>
      <c r="O21" s="1"/>
      <c r="P21" s="1"/>
      <c r="AC21" s="1" t="s">
        <v>43</v>
      </c>
      <c r="AD21" s="1" t="s">
        <v>70</v>
      </c>
      <c r="AE21" s="1">
        <v>22.1</v>
      </c>
      <c r="AF21" s="1">
        <v>245</v>
      </c>
      <c r="AG21" s="4">
        <f t="shared" si="1"/>
        <v>5414.5</v>
      </c>
      <c r="AH21" s="1"/>
    </row>
    <row r="22" spans="1:43" x14ac:dyDescent="0.3">
      <c r="A22" s="1" t="s">
        <v>19</v>
      </c>
      <c r="B22" s="1" t="s">
        <v>20</v>
      </c>
      <c r="C22" s="1"/>
      <c r="D22" s="1">
        <v>84</v>
      </c>
      <c r="E22" s="1">
        <v>195</v>
      </c>
      <c r="F22" s="4">
        <f t="shared" si="4"/>
        <v>16380</v>
      </c>
      <c r="G22" s="1" t="s">
        <v>21</v>
      </c>
      <c r="I22" s="1" t="s">
        <v>85</v>
      </c>
      <c r="J22" s="1" t="s">
        <v>82</v>
      </c>
      <c r="K22" s="1" t="s">
        <v>49</v>
      </c>
      <c r="L22" s="1">
        <v>21.9</v>
      </c>
      <c r="M22" s="1">
        <v>355</v>
      </c>
      <c r="N22" s="4">
        <f>M22*L22</f>
        <v>7774.4999999999991</v>
      </c>
      <c r="O22" s="1" t="s">
        <v>83</v>
      </c>
      <c r="P22" s="1"/>
      <c r="AC22" s="1" t="s">
        <v>43</v>
      </c>
      <c r="AD22" s="1" t="s">
        <v>45</v>
      </c>
      <c r="AE22" s="1">
        <v>62.5</v>
      </c>
      <c r="AF22" s="1">
        <v>245</v>
      </c>
      <c r="AG22" s="4">
        <f t="shared" si="1"/>
        <v>15312.5</v>
      </c>
      <c r="AH22" s="1"/>
    </row>
    <row r="23" spans="1:43" x14ac:dyDescent="0.3">
      <c r="A23" s="1"/>
      <c r="B23" s="1"/>
      <c r="C23" s="1"/>
      <c r="D23" s="1"/>
      <c r="E23" s="1"/>
      <c r="F23" s="4"/>
      <c r="G23" s="1"/>
      <c r="I23" s="1" t="s">
        <v>85</v>
      </c>
      <c r="J23" s="1" t="s">
        <v>82</v>
      </c>
      <c r="K23" s="1" t="s">
        <v>23</v>
      </c>
      <c r="L23" s="1">
        <v>20.399999999999999</v>
      </c>
      <c r="M23" s="1">
        <v>355</v>
      </c>
      <c r="N23" s="4">
        <f>M23*L23</f>
        <v>7241.9999999999991</v>
      </c>
      <c r="O23" s="1" t="s">
        <v>83</v>
      </c>
      <c r="P23" s="1"/>
      <c r="AC23" s="1" t="s">
        <v>43</v>
      </c>
      <c r="AD23" s="1" t="s">
        <v>46</v>
      </c>
      <c r="AE23" s="1">
        <v>47.1</v>
      </c>
      <c r="AF23" s="1">
        <v>245</v>
      </c>
      <c r="AG23" s="4">
        <f t="shared" si="1"/>
        <v>11539.5</v>
      </c>
      <c r="AH23" s="1"/>
    </row>
    <row r="24" spans="1:43" x14ac:dyDescent="0.3">
      <c r="A24" s="1" t="s">
        <v>82</v>
      </c>
      <c r="B24" s="1" t="s">
        <v>49</v>
      </c>
      <c r="C24" s="1">
        <v>1</v>
      </c>
      <c r="D24" s="1">
        <v>21.9</v>
      </c>
      <c r="E24" s="1">
        <v>355</v>
      </c>
      <c r="F24" s="4">
        <f>E24*D24</f>
        <v>7774.4999999999991</v>
      </c>
      <c r="G24" s="1" t="s">
        <v>83</v>
      </c>
      <c r="I24" s="1"/>
      <c r="J24" s="1"/>
      <c r="K24" s="1"/>
      <c r="L24" s="1"/>
      <c r="M24" s="1"/>
      <c r="N24" s="1"/>
      <c r="O24" s="1"/>
      <c r="P24" s="1"/>
      <c r="AC24" s="1" t="s">
        <v>43</v>
      </c>
      <c r="AD24" s="1" t="s">
        <v>47</v>
      </c>
      <c r="AE24" s="1">
        <v>30.1</v>
      </c>
      <c r="AF24" s="1">
        <v>245</v>
      </c>
      <c r="AG24" s="4">
        <f t="shared" si="1"/>
        <v>7374.5</v>
      </c>
      <c r="AH24" s="1"/>
    </row>
    <row r="25" spans="1:43" x14ac:dyDescent="0.3">
      <c r="A25" s="1" t="s">
        <v>82</v>
      </c>
      <c r="B25" s="1" t="s">
        <v>23</v>
      </c>
      <c r="C25" s="1">
        <v>1</v>
      </c>
      <c r="D25" s="1">
        <v>20.399999999999999</v>
      </c>
      <c r="E25" s="1">
        <v>355</v>
      </c>
      <c r="F25" s="4">
        <f>E25*D25</f>
        <v>7241.9999999999991</v>
      </c>
      <c r="G25" s="1" t="s">
        <v>83</v>
      </c>
      <c r="I25" s="1"/>
      <c r="J25" s="1"/>
      <c r="K25" s="1"/>
      <c r="L25" s="1"/>
      <c r="M25" s="1"/>
      <c r="N25" s="1"/>
      <c r="O25" s="1"/>
      <c r="P25" s="1"/>
      <c r="AC25" s="1" t="s">
        <v>43</v>
      </c>
      <c r="AD25" s="1">
        <v>0</v>
      </c>
      <c r="AE25" s="1">
        <v>0</v>
      </c>
      <c r="AF25" s="1">
        <v>245</v>
      </c>
      <c r="AG25" s="4">
        <f t="shared" si="1"/>
        <v>0</v>
      </c>
      <c r="AH25" s="1"/>
    </row>
    <row r="26" spans="1:43" x14ac:dyDescent="0.3">
      <c r="A26" s="1"/>
      <c r="B26" s="1"/>
      <c r="C26" s="1"/>
      <c r="D26" s="1"/>
      <c r="E26" s="1"/>
      <c r="F26" s="4"/>
      <c r="G26" s="1"/>
      <c r="I26" s="1"/>
      <c r="J26" s="1"/>
      <c r="K26" s="1"/>
      <c r="L26" s="1"/>
      <c r="M26" s="1"/>
      <c r="N26" s="1"/>
      <c r="O26" s="1"/>
      <c r="P26" s="1"/>
      <c r="AC26" s="1" t="s">
        <v>48</v>
      </c>
      <c r="AD26" s="1" t="s">
        <v>49</v>
      </c>
      <c r="AE26" s="1">
        <v>79.3</v>
      </c>
      <c r="AF26" s="1">
        <v>390</v>
      </c>
      <c r="AG26" s="4">
        <f t="shared" si="1"/>
        <v>30927</v>
      </c>
      <c r="AH26" s="1" t="s">
        <v>51</v>
      </c>
    </row>
    <row r="27" spans="1:43" x14ac:dyDescent="0.3">
      <c r="A27" s="11" t="s">
        <v>48</v>
      </c>
      <c r="B27" s="11" t="s">
        <v>60</v>
      </c>
      <c r="C27" s="11">
        <v>1</v>
      </c>
      <c r="D27" s="11">
        <v>26</v>
      </c>
      <c r="E27" s="11">
        <v>370</v>
      </c>
      <c r="F27" s="12">
        <f>E27*D27</f>
        <v>9620</v>
      </c>
      <c r="G27" s="1" t="s">
        <v>83</v>
      </c>
      <c r="I27" s="1"/>
      <c r="J27" s="1"/>
      <c r="K27" s="1"/>
      <c r="L27" s="1"/>
      <c r="M27" s="1"/>
      <c r="N27" s="1"/>
      <c r="O27" s="1"/>
      <c r="P27" s="1"/>
      <c r="AC27" s="1" t="s">
        <v>48</v>
      </c>
      <c r="AD27" s="1" t="s">
        <v>23</v>
      </c>
      <c r="AE27" s="1">
        <v>41.3</v>
      </c>
      <c r="AF27" s="1">
        <v>390</v>
      </c>
      <c r="AG27" s="4">
        <f t="shared" si="1"/>
        <v>16106.999999999998</v>
      </c>
      <c r="AH27" s="1" t="s">
        <v>51</v>
      </c>
    </row>
    <row r="28" spans="1:43" x14ac:dyDescent="0.3">
      <c r="A28" s="11" t="s">
        <v>48</v>
      </c>
      <c r="B28" s="11" t="s">
        <v>11</v>
      </c>
      <c r="C28" s="11">
        <v>1</v>
      </c>
      <c r="D28" s="11">
        <v>26.4</v>
      </c>
      <c r="E28" s="11">
        <v>370</v>
      </c>
      <c r="F28" s="12">
        <f>E28*D28</f>
        <v>9768</v>
      </c>
      <c r="G28" s="1" t="s">
        <v>83</v>
      </c>
      <c r="I28" s="1"/>
      <c r="J28" s="1"/>
      <c r="K28" s="1"/>
      <c r="L28" s="1"/>
      <c r="M28" s="1"/>
      <c r="N28" s="1"/>
      <c r="O28" s="1"/>
      <c r="P28" s="1"/>
      <c r="AC28" s="1" t="s">
        <v>48</v>
      </c>
      <c r="AD28" s="1" t="s">
        <v>2</v>
      </c>
      <c r="AE28" s="1">
        <v>45.55</v>
      </c>
      <c r="AF28" s="1">
        <v>390</v>
      </c>
      <c r="AG28" s="4">
        <f t="shared" si="1"/>
        <v>17764.5</v>
      </c>
      <c r="AH28" s="1" t="s">
        <v>51</v>
      </c>
    </row>
    <row r="29" spans="1:43" x14ac:dyDescent="0.3">
      <c r="A29" s="1"/>
      <c r="B29" s="1"/>
      <c r="C29" s="1"/>
      <c r="D29" s="1"/>
      <c r="E29" s="1"/>
      <c r="F29" s="4"/>
      <c r="G29" s="1"/>
      <c r="I29" s="1"/>
      <c r="J29" s="1"/>
      <c r="K29" s="1"/>
      <c r="L29" s="1"/>
      <c r="M29" s="1"/>
      <c r="N29" s="1"/>
      <c r="O29" s="1"/>
      <c r="P29" s="1"/>
      <c r="AC29" s="1" t="s">
        <v>48</v>
      </c>
      <c r="AD29" s="1" t="s">
        <v>50</v>
      </c>
      <c r="AE29" s="1">
        <v>50.65</v>
      </c>
      <c r="AF29" s="1">
        <v>390</v>
      </c>
      <c r="AG29" s="4">
        <f t="shared" si="1"/>
        <v>19753.5</v>
      </c>
      <c r="AH29" s="1" t="s">
        <v>51</v>
      </c>
    </row>
    <row r="30" spans="1:43" x14ac:dyDescent="0.3">
      <c r="A30" s="14"/>
      <c r="B30" s="14"/>
      <c r="C30" s="14"/>
      <c r="D30" s="14"/>
      <c r="E30" s="14"/>
      <c r="F30" s="15"/>
      <c r="G30" s="14"/>
      <c r="H30" s="7"/>
      <c r="I30" s="14"/>
      <c r="J30" s="14"/>
      <c r="K30" s="14"/>
      <c r="L30" s="14"/>
      <c r="M30" s="14"/>
      <c r="N30" s="14"/>
      <c r="O30" s="14"/>
      <c r="P30" s="14"/>
      <c r="AC30" s="1"/>
      <c r="AD30" s="1"/>
      <c r="AE30" s="1"/>
      <c r="AF30" s="1"/>
      <c r="AG30" s="4"/>
      <c r="AH30" s="1"/>
      <c r="AJ30" s="2" t="s">
        <v>26</v>
      </c>
      <c r="AK30" s="2" t="s">
        <v>17</v>
      </c>
      <c r="AL30" s="2" t="s">
        <v>29</v>
      </c>
      <c r="AM30" s="2" t="s">
        <v>25</v>
      </c>
      <c r="AN30" s="2" t="s">
        <v>14</v>
      </c>
      <c r="AO30" s="5" t="s">
        <v>13</v>
      </c>
      <c r="AP30" s="5" t="s">
        <v>12</v>
      </c>
      <c r="AQ30" s="5" t="s">
        <v>36</v>
      </c>
    </row>
    <row r="31" spans="1:43" x14ac:dyDescent="0.3">
      <c r="A31" s="1" t="s">
        <v>19</v>
      </c>
      <c r="B31" s="1" t="s">
        <v>11</v>
      </c>
      <c r="C31" s="1"/>
      <c r="D31" s="1">
        <v>41.9</v>
      </c>
      <c r="E31" s="1">
        <v>195</v>
      </c>
      <c r="F31" s="4">
        <f t="shared" ref="F31:F34" si="5">E31*D31</f>
        <v>8170.5</v>
      </c>
      <c r="G31" s="1" t="s">
        <v>21</v>
      </c>
      <c r="I31" s="1"/>
      <c r="J31" s="1"/>
      <c r="K31" s="1"/>
      <c r="L31" s="1"/>
      <c r="M31" s="1"/>
      <c r="N31" s="1"/>
      <c r="O31" s="1"/>
      <c r="P31" s="1"/>
      <c r="AC31" s="1"/>
      <c r="AD31" s="1"/>
      <c r="AE31" s="1"/>
      <c r="AF31" s="1"/>
      <c r="AG31" s="4"/>
      <c r="AH31" s="1"/>
      <c r="AJ31" s="1" t="s">
        <v>27</v>
      </c>
      <c r="AK31" s="1" t="s">
        <v>28</v>
      </c>
      <c r="AL31" s="1" t="s">
        <v>11</v>
      </c>
      <c r="AM31" s="1">
        <v>25</v>
      </c>
      <c r="AN31" s="1">
        <v>185</v>
      </c>
      <c r="AO31" s="4">
        <f>AM31*AN31</f>
        <v>4625</v>
      </c>
      <c r="AP31" s="1" t="s">
        <v>21</v>
      </c>
      <c r="AQ31" s="1" t="s">
        <v>37</v>
      </c>
    </row>
    <row r="32" spans="1:43" x14ac:dyDescent="0.3">
      <c r="A32" s="1" t="s">
        <v>19</v>
      </c>
      <c r="B32" s="1" t="s">
        <v>8</v>
      </c>
      <c r="C32" s="1"/>
      <c r="D32" s="1">
        <v>16.75</v>
      </c>
      <c r="E32" s="1">
        <v>195</v>
      </c>
      <c r="F32" s="4">
        <f t="shared" si="5"/>
        <v>3266.25</v>
      </c>
      <c r="G32" s="1" t="s">
        <v>21</v>
      </c>
      <c r="I32" s="1"/>
      <c r="J32" s="1"/>
      <c r="K32" s="1"/>
      <c r="L32" s="1"/>
      <c r="M32" s="1"/>
      <c r="N32" s="1"/>
      <c r="O32" s="1"/>
      <c r="P32" s="1"/>
      <c r="AC32" s="1"/>
      <c r="AD32" s="1"/>
      <c r="AE32" s="1"/>
      <c r="AF32" s="1"/>
      <c r="AG32" s="4"/>
      <c r="AH32" s="1"/>
      <c r="AJ32" s="1" t="s">
        <v>27</v>
      </c>
      <c r="AK32" s="1" t="s">
        <v>28</v>
      </c>
      <c r="AL32" s="1" t="s">
        <v>30</v>
      </c>
      <c r="AM32" s="1">
        <v>25.5</v>
      </c>
      <c r="AN32" s="1">
        <v>185</v>
      </c>
      <c r="AO32" s="4">
        <f t="shared" ref="AO32:AO57" si="6">AM32*AN32</f>
        <v>4717.5</v>
      </c>
      <c r="AP32" s="1" t="s">
        <v>21</v>
      </c>
      <c r="AQ32" s="1" t="s">
        <v>37</v>
      </c>
    </row>
    <row r="33" spans="1:43" x14ac:dyDescent="0.3">
      <c r="A33" s="1" t="s">
        <v>19</v>
      </c>
      <c r="B33" s="1" t="s">
        <v>2</v>
      </c>
      <c r="C33" s="1"/>
      <c r="D33" s="1">
        <v>42.9</v>
      </c>
      <c r="E33" s="1">
        <v>195</v>
      </c>
      <c r="F33" s="4">
        <f t="shared" si="5"/>
        <v>8365.5</v>
      </c>
      <c r="G33" s="1" t="s">
        <v>21</v>
      </c>
      <c r="I33" s="1"/>
      <c r="J33" s="1"/>
      <c r="K33" s="1"/>
      <c r="L33" s="1"/>
      <c r="M33" s="1"/>
      <c r="N33" s="1"/>
      <c r="O33" s="1"/>
      <c r="P33" s="1"/>
      <c r="AC33" s="1"/>
      <c r="AD33" s="1"/>
      <c r="AE33" s="1"/>
      <c r="AF33" s="1"/>
      <c r="AG33" s="4"/>
      <c r="AH33" s="1"/>
      <c r="AJ33" s="1" t="s">
        <v>27</v>
      </c>
      <c r="AK33" s="1" t="s">
        <v>28</v>
      </c>
      <c r="AL33" s="1" t="s">
        <v>31</v>
      </c>
      <c r="AM33" s="1">
        <v>19.5</v>
      </c>
      <c r="AN33" s="1">
        <v>185</v>
      </c>
      <c r="AO33" s="4">
        <f t="shared" si="6"/>
        <v>3607.5</v>
      </c>
      <c r="AP33" s="1" t="s">
        <v>21</v>
      </c>
      <c r="AQ33" s="1" t="s">
        <v>37</v>
      </c>
    </row>
    <row r="34" spans="1:43" x14ac:dyDescent="0.3">
      <c r="A34" s="1" t="s">
        <v>19</v>
      </c>
      <c r="B34" s="1" t="s">
        <v>20</v>
      </c>
      <c r="C34" s="1"/>
      <c r="D34" s="1">
        <v>84</v>
      </c>
      <c r="E34" s="1">
        <v>195</v>
      </c>
      <c r="F34" s="4">
        <f t="shared" si="5"/>
        <v>16380</v>
      </c>
      <c r="G34" s="1" t="s">
        <v>21</v>
      </c>
      <c r="I34" s="1"/>
      <c r="J34" s="1"/>
      <c r="K34" s="1"/>
      <c r="L34" s="1"/>
      <c r="M34" s="1"/>
      <c r="N34" s="1"/>
      <c r="O34" s="1"/>
      <c r="P34" s="1"/>
      <c r="AC34" s="1"/>
      <c r="AD34" s="1"/>
      <c r="AE34" s="1"/>
      <c r="AF34" s="1"/>
      <c r="AG34" s="4"/>
      <c r="AH34" s="1"/>
      <c r="AJ34" s="1" t="s">
        <v>27</v>
      </c>
      <c r="AK34" s="1" t="s">
        <v>33</v>
      </c>
      <c r="AL34" s="1" t="s">
        <v>32</v>
      </c>
      <c r="AM34" s="1">
        <v>27.75</v>
      </c>
      <c r="AN34" s="1">
        <v>240</v>
      </c>
      <c r="AO34" s="4">
        <f t="shared" si="6"/>
        <v>6660</v>
      </c>
      <c r="AP34" s="1" t="s">
        <v>34</v>
      </c>
      <c r="AQ34" s="1" t="s">
        <v>37</v>
      </c>
    </row>
    <row r="35" spans="1:43" x14ac:dyDescent="0.3">
      <c r="A35" s="1"/>
      <c r="B35" s="1"/>
      <c r="C35" s="1"/>
      <c r="D35" s="1"/>
      <c r="E35" s="1"/>
      <c r="F35" s="1"/>
      <c r="G35" s="1"/>
      <c r="I35" s="1"/>
      <c r="J35" s="1"/>
      <c r="K35" s="1"/>
      <c r="L35" s="1"/>
      <c r="M35" s="1"/>
      <c r="N35" s="1"/>
      <c r="O35" s="1"/>
      <c r="P35" s="1"/>
      <c r="AC35" s="1"/>
      <c r="AD35" s="1"/>
      <c r="AE35" s="1"/>
      <c r="AF35" s="1"/>
      <c r="AG35" s="4"/>
      <c r="AH35" s="1"/>
      <c r="AJ35" s="1" t="s">
        <v>35</v>
      </c>
      <c r="AK35" s="1" t="s">
        <v>38</v>
      </c>
      <c r="AL35" s="1" t="s">
        <v>11</v>
      </c>
      <c r="AM35" s="1">
        <v>19.5</v>
      </c>
      <c r="AN35" s="1">
        <v>390</v>
      </c>
      <c r="AO35" s="4">
        <f t="shared" si="6"/>
        <v>7605</v>
      </c>
      <c r="AP35" s="1" t="s">
        <v>34</v>
      </c>
      <c r="AQ35" s="1" t="s">
        <v>37</v>
      </c>
    </row>
    <row r="36" spans="1:43" x14ac:dyDescent="0.3">
      <c r="A36" s="1" t="s">
        <v>86</v>
      </c>
      <c r="B36" s="1" t="s">
        <v>49</v>
      </c>
      <c r="C36" s="1">
        <v>7</v>
      </c>
      <c r="D36" s="1">
        <v>138.5</v>
      </c>
      <c r="E36" s="1">
        <v>310</v>
      </c>
      <c r="F36" s="1">
        <f>E36*D36</f>
        <v>42935</v>
      </c>
      <c r="G36" s="1" t="s">
        <v>73</v>
      </c>
      <c r="I36" s="1"/>
      <c r="J36" s="1"/>
      <c r="K36" s="1"/>
      <c r="L36" s="1"/>
      <c r="M36" s="1"/>
      <c r="N36" s="1"/>
      <c r="O36" s="1"/>
      <c r="P36" s="1"/>
      <c r="AC36" s="1"/>
      <c r="AD36" s="1"/>
      <c r="AE36" s="1"/>
      <c r="AF36" s="1"/>
      <c r="AG36" s="4"/>
      <c r="AH36" s="1"/>
      <c r="AJ36" s="1" t="s">
        <v>35</v>
      </c>
      <c r="AK36" s="1" t="s">
        <v>38</v>
      </c>
      <c r="AL36" s="1" t="s">
        <v>30</v>
      </c>
      <c r="AM36" s="1">
        <v>17.5</v>
      </c>
      <c r="AN36" s="1">
        <v>390</v>
      </c>
      <c r="AO36" s="4">
        <f t="shared" si="6"/>
        <v>6825</v>
      </c>
      <c r="AP36" s="1" t="s">
        <v>34</v>
      </c>
      <c r="AQ36" s="1" t="s">
        <v>37</v>
      </c>
    </row>
    <row r="37" spans="1:43" x14ac:dyDescent="0.3">
      <c r="A37" s="1" t="s">
        <v>86</v>
      </c>
      <c r="B37" s="1" t="s">
        <v>87</v>
      </c>
      <c r="C37" s="1">
        <v>2</v>
      </c>
      <c r="D37" s="1">
        <v>46.3</v>
      </c>
      <c r="E37" s="1">
        <v>310</v>
      </c>
      <c r="F37" s="1">
        <f t="shared" ref="F37:F39" si="7">E37*D37</f>
        <v>14353</v>
      </c>
      <c r="G37" s="1" t="s">
        <v>73</v>
      </c>
      <c r="I37" s="1"/>
      <c r="J37" s="1"/>
      <c r="K37" s="1"/>
      <c r="L37" s="1"/>
      <c r="M37" s="1"/>
      <c r="N37" s="1"/>
      <c r="O37" s="1"/>
      <c r="P37" s="1"/>
      <c r="AC37" s="1"/>
      <c r="AD37" s="1"/>
      <c r="AE37" s="1"/>
      <c r="AF37" s="1"/>
      <c r="AG37" s="4"/>
      <c r="AH37" s="1"/>
      <c r="AJ37" s="1" t="s">
        <v>35</v>
      </c>
      <c r="AK37" s="1" t="s">
        <v>38</v>
      </c>
      <c r="AL37" s="1" t="s">
        <v>39</v>
      </c>
      <c r="AM37" s="1">
        <v>17</v>
      </c>
      <c r="AN37" s="1">
        <v>390</v>
      </c>
      <c r="AO37" s="4">
        <f t="shared" si="6"/>
        <v>6630</v>
      </c>
      <c r="AP37" s="1" t="s">
        <v>34</v>
      </c>
      <c r="AQ37" s="1" t="s">
        <v>37</v>
      </c>
    </row>
    <row r="38" spans="1:43" x14ac:dyDescent="0.3">
      <c r="A38" s="1" t="s">
        <v>86</v>
      </c>
      <c r="B38" s="1" t="s">
        <v>88</v>
      </c>
      <c r="C38" s="1">
        <v>3</v>
      </c>
      <c r="D38" s="1">
        <v>44.7</v>
      </c>
      <c r="E38" s="1">
        <v>310</v>
      </c>
      <c r="F38" s="1">
        <f t="shared" si="7"/>
        <v>13857</v>
      </c>
      <c r="G38" s="1" t="s">
        <v>73</v>
      </c>
      <c r="I38" s="1"/>
      <c r="J38" s="1"/>
      <c r="K38" s="1"/>
      <c r="L38" s="1"/>
      <c r="M38" s="1"/>
      <c r="N38" s="1"/>
      <c r="O38" s="1"/>
      <c r="P38" s="1"/>
      <c r="AC38" s="1"/>
      <c r="AD38" s="1"/>
      <c r="AE38" s="1"/>
      <c r="AF38" s="1"/>
      <c r="AG38" s="4"/>
      <c r="AH38" s="1"/>
      <c r="AJ38" s="1" t="s">
        <v>35</v>
      </c>
      <c r="AK38" s="1" t="s">
        <v>38</v>
      </c>
      <c r="AL38" s="1" t="s">
        <v>40</v>
      </c>
      <c r="AM38" s="1">
        <v>23</v>
      </c>
      <c r="AN38" s="1">
        <v>325</v>
      </c>
      <c r="AO38" s="4">
        <f t="shared" si="6"/>
        <v>7475</v>
      </c>
      <c r="AP38" s="1" t="s">
        <v>41</v>
      </c>
      <c r="AQ38" s="1" t="s">
        <v>37</v>
      </c>
    </row>
    <row r="39" spans="1:43" x14ac:dyDescent="0.3">
      <c r="A39" s="1" t="s">
        <v>86</v>
      </c>
      <c r="B39" s="1" t="s">
        <v>89</v>
      </c>
      <c r="C39" s="1">
        <v>4</v>
      </c>
      <c r="D39" s="1">
        <v>62.5</v>
      </c>
      <c r="E39" s="1">
        <v>310</v>
      </c>
      <c r="F39" s="1">
        <f t="shared" si="7"/>
        <v>19375</v>
      </c>
      <c r="G39" s="1" t="s">
        <v>73</v>
      </c>
      <c r="I39" s="1"/>
      <c r="J39" s="1"/>
      <c r="K39" s="1"/>
      <c r="L39" s="1"/>
      <c r="M39" s="1"/>
      <c r="N39" s="1"/>
      <c r="O39" s="1"/>
      <c r="P39" s="1"/>
      <c r="AC39" s="1"/>
      <c r="AD39" s="1"/>
      <c r="AE39" s="1"/>
      <c r="AF39" s="1"/>
      <c r="AG39" s="4"/>
      <c r="AH39" s="1"/>
      <c r="AJ39" s="1" t="s">
        <v>42</v>
      </c>
      <c r="AK39" s="1" t="s">
        <v>38</v>
      </c>
      <c r="AL39" s="1" t="s">
        <v>31</v>
      </c>
      <c r="AM39" s="1">
        <v>24.5</v>
      </c>
      <c r="AN39" s="1">
        <v>390</v>
      </c>
      <c r="AO39" s="4">
        <f t="shared" si="6"/>
        <v>9555</v>
      </c>
      <c r="AP39" s="1" t="s">
        <v>34</v>
      </c>
      <c r="AQ39" s="1" t="s">
        <v>37</v>
      </c>
    </row>
    <row r="40" spans="1:43" x14ac:dyDescent="0.3">
      <c r="A40" s="1"/>
      <c r="B40" s="1"/>
      <c r="C40" s="1"/>
      <c r="D40" s="1"/>
      <c r="E40" s="1"/>
      <c r="F40" s="1"/>
      <c r="G40" s="1"/>
      <c r="I40" s="1"/>
      <c r="J40" s="1"/>
      <c r="K40" s="1"/>
      <c r="L40" s="1"/>
      <c r="M40" s="1"/>
      <c r="N40" s="1"/>
      <c r="O40" s="1"/>
      <c r="P40" s="1"/>
      <c r="AC40" s="1"/>
      <c r="AD40" s="1"/>
      <c r="AE40" s="1"/>
      <c r="AF40" s="1"/>
      <c r="AG40" s="4"/>
      <c r="AH40" s="1"/>
      <c r="AJ40" s="1" t="s">
        <v>42</v>
      </c>
      <c r="AK40" s="1" t="s">
        <v>38</v>
      </c>
      <c r="AL40" s="1" t="s">
        <v>20</v>
      </c>
      <c r="AM40" s="1">
        <v>22</v>
      </c>
      <c r="AN40" s="1">
        <v>390</v>
      </c>
      <c r="AO40" s="4">
        <f t="shared" si="6"/>
        <v>8580</v>
      </c>
      <c r="AP40" s="1" t="s">
        <v>34</v>
      </c>
      <c r="AQ40" s="1" t="s">
        <v>37</v>
      </c>
    </row>
    <row r="41" spans="1:43" x14ac:dyDescent="0.3">
      <c r="A41" s="1"/>
      <c r="B41" s="1"/>
      <c r="C41" s="1"/>
      <c r="D41" s="1"/>
      <c r="E41" s="1"/>
      <c r="F41" s="1"/>
      <c r="G41" s="1"/>
      <c r="I41" s="1"/>
      <c r="J41" s="1"/>
      <c r="K41" s="1"/>
      <c r="L41" s="1"/>
      <c r="M41" s="1"/>
      <c r="N41" s="1"/>
      <c r="O41" s="1"/>
      <c r="P41" s="1"/>
      <c r="AC41" s="1"/>
      <c r="AD41" s="1"/>
      <c r="AE41" s="1"/>
      <c r="AF41" s="1"/>
      <c r="AG41" s="4"/>
      <c r="AH41" s="1"/>
      <c r="AJ41" s="1" t="s">
        <v>42</v>
      </c>
      <c r="AK41" s="1" t="s">
        <v>38</v>
      </c>
      <c r="AL41" s="1" t="s">
        <v>11</v>
      </c>
      <c r="AM41" s="1">
        <v>20</v>
      </c>
      <c r="AN41" s="1">
        <v>390</v>
      </c>
      <c r="AO41" s="4">
        <f t="shared" si="6"/>
        <v>7800</v>
      </c>
      <c r="AP41" s="1" t="s">
        <v>34</v>
      </c>
      <c r="AQ41" s="1" t="s">
        <v>37</v>
      </c>
    </row>
    <row r="42" spans="1:43" x14ac:dyDescent="0.3">
      <c r="A42" s="1"/>
      <c r="B42" s="1"/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  <c r="O42" s="1"/>
      <c r="P42" s="1"/>
      <c r="AC42" s="1"/>
      <c r="AD42" s="1"/>
      <c r="AE42" s="1"/>
      <c r="AF42" s="1"/>
      <c r="AG42" s="4"/>
      <c r="AH42" s="1"/>
      <c r="AJ42" s="1" t="s">
        <v>42</v>
      </c>
      <c r="AK42" s="1" t="s">
        <v>38</v>
      </c>
      <c r="AL42" s="1" t="s">
        <v>32</v>
      </c>
      <c r="AM42" s="1">
        <v>18.5</v>
      </c>
      <c r="AN42" s="1">
        <v>390</v>
      </c>
      <c r="AO42" s="4">
        <f t="shared" si="6"/>
        <v>7215</v>
      </c>
      <c r="AP42" s="1" t="s">
        <v>34</v>
      </c>
      <c r="AQ42" s="1" t="s">
        <v>37</v>
      </c>
    </row>
    <row r="43" spans="1:43" x14ac:dyDescent="0.3">
      <c r="A43" s="1"/>
      <c r="B43" s="1"/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  <c r="O43" s="1"/>
      <c r="P43" s="1"/>
      <c r="AC43" s="1"/>
      <c r="AD43" s="1"/>
      <c r="AE43" s="1"/>
      <c r="AF43" s="1"/>
      <c r="AG43" s="4"/>
      <c r="AH43" s="1"/>
      <c r="AJ43" s="1" t="s">
        <v>52</v>
      </c>
      <c r="AK43" s="1" t="s">
        <v>28</v>
      </c>
      <c r="AL43" s="1" t="s">
        <v>11</v>
      </c>
      <c r="AM43" s="1">
        <v>22.7</v>
      </c>
      <c r="AN43" s="1">
        <v>185</v>
      </c>
      <c r="AO43" s="4">
        <f t="shared" si="6"/>
        <v>4199.5</v>
      </c>
      <c r="AP43" s="1" t="s">
        <v>21</v>
      </c>
      <c r="AQ43" s="1" t="s">
        <v>37</v>
      </c>
    </row>
    <row r="44" spans="1:43" x14ac:dyDescent="0.3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  <c r="P44" s="1"/>
      <c r="AC44" s="1"/>
      <c r="AD44" s="1"/>
      <c r="AE44" s="1"/>
      <c r="AF44" s="1"/>
      <c r="AG44" s="4"/>
      <c r="AH44" s="1"/>
      <c r="AJ44" s="1" t="s">
        <v>52</v>
      </c>
      <c r="AK44" s="1" t="s">
        <v>28</v>
      </c>
      <c r="AL44" s="1" t="s">
        <v>30</v>
      </c>
      <c r="AM44" s="1">
        <v>26.2</v>
      </c>
      <c r="AN44" s="1">
        <v>185</v>
      </c>
      <c r="AO44" s="4">
        <f t="shared" si="6"/>
        <v>4847</v>
      </c>
      <c r="AP44" s="1" t="s">
        <v>21</v>
      </c>
      <c r="AQ44" s="1" t="s">
        <v>37</v>
      </c>
    </row>
    <row r="45" spans="1:43" x14ac:dyDescent="0.3">
      <c r="A45" s="1"/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AC45" s="1"/>
      <c r="AD45" s="1"/>
      <c r="AE45" s="1"/>
      <c r="AF45" s="1"/>
      <c r="AG45" s="4"/>
      <c r="AH45" s="1"/>
      <c r="AJ45" s="1" t="s">
        <v>52</v>
      </c>
      <c r="AK45" s="1" t="s">
        <v>28</v>
      </c>
      <c r="AL45" s="1" t="s">
        <v>24</v>
      </c>
      <c r="AM45" s="1">
        <v>21.4</v>
      </c>
      <c r="AN45" s="1">
        <v>185</v>
      </c>
      <c r="AO45" s="4">
        <f t="shared" si="6"/>
        <v>3958.9999999999995</v>
      </c>
      <c r="AP45" s="1" t="s">
        <v>21</v>
      </c>
      <c r="AQ45" s="1" t="s">
        <v>37</v>
      </c>
    </row>
    <row r="46" spans="1:43" x14ac:dyDescent="0.3">
      <c r="A46" s="1"/>
      <c r="B46" s="1"/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  <c r="O46" s="1"/>
      <c r="P46" s="1"/>
      <c r="AC46" s="1"/>
      <c r="AD46" s="1"/>
      <c r="AE46" s="1"/>
      <c r="AF46" s="1"/>
      <c r="AG46" s="4"/>
      <c r="AH46" s="1"/>
      <c r="AJ46" s="1" t="s">
        <v>54</v>
      </c>
      <c r="AK46" s="1" t="s">
        <v>43</v>
      </c>
      <c r="AL46" s="1" t="s">
        <v>11</v>
      </c>
      <c r="AM46" s="1">
        <v>41.6</v>
      </c>
      <c r="AN46" s="1">
        <v>245</v>
      </c>
      <c r="AO46" s="4">
        <f t="shared" si="6"/>
        <v>10192</v>
      </c>
      <c r="AP46" s="1" t="s">
        <v>34</v>
      </c>
      <c r="AQ46" s="1" t="s">
        <v>37</v>
      </c>
    </row>
    <row r="47" spans="1:43" x14ac:dyDescent="0.3">
      <c r="A47" s="1"/>
      <c r="B47" s="1"/>
      <c r="C47" s="1"/>
      <c r="D47" s="1"/>
      <c r="E47" s="1"/>
      <c r="F47" s="1"/>
      <c r="G47" s="1"/>
      <c r="I47" s="1"/>
      <c r="J47" s="1"/>
      <c r="K47" s="1"/>
      <c r="L47" s="1"/>
      <c r="M47" s="1"/>
      <c r="N47" s="1"/>
      <c r="O47" s="1"/>
      <c r="P47" s="1"/>
      <c r="AC47" s="1"/>
      <c r="AD47" s="1"/>
      <c r="AE47" s="1"/>
      <c r="AF47" s="1"/>
      <c r="AG47" s="4"/>
      <c r="AH47" s="1"/>
      <c r="AJ47" s="1" t="s">
        <v>54</v>
      </c>
      <c r="AK47" s="1" t="s">
        <v>43</v>
      </c>
      <c r="AL47" s="1" t="s">
        <v>30</v>
      </c>
      <c r="AM47" s="1">
        <v>32</v>
      </c>
      <c r="AN47" s="1">
        <v>245</v>
      </c>
      <c r="AO47" s="4">
        <f t="shared" si="6"/>
        <v>7840</v>
      </c>
      <c r="AP47" s="1" t="s">
        <v>34</v>
      </c>
      <c r="AQ47" s="1" t="s">
        <v>37</v>
      </c>
    </row>
    <row r="48" spans="1:43" x14ac:dyDescent="0.3">
      <c r="A48" s="1"/>
      <c r="B48" s="1"/>
      <c r="C48" s="1"/>
      <c r="D48" s="1"/>
      <c r="E48" s="1"/>
      <c r="F48" s="1"/>
      <c r="G48" s="1"/>
      <c r="I48" s="1"/>
      <c r="J48" s="1"/>
      <c r="K48" s="1"/>
      <c r="L48" s="1"/>
      <c r="M48" s="1"/>
      <c r="N48" s="1"/>
      <c r="O48" s="1"/>
      <c r="P48" s="1"/>
      <c r="AC48" s="1"/>
      <c r="AD48" s="1"/>
      <c r="AE48" s="1"/>
      <c r="AF48" s="1"/>
      <c r="AG48" s="4"/>
      <c r="AH48" s="1"/>
      <c r="AJ48" s="1" t="s">
        <v>54</v>
      </c>
      <c r="AK48" s="1" t="s">
        <v>43</v>
      </c>
      <c r="AL48" s="1" t="s">
        <v>31</v>
      </c>
      <c r="AM48" s="1">
        <v>15.7</v>
      </c>
      <c r="AN48" s="1">
        <v>245</v>
      </c>
      <c r="AO48" s="4">
        <f t="shared" si="6"/>
        <v>3846.5</v>
      </c>
      <c r="AP48" s="1" t="s">
        <v>34</v>
      </c>
      <c r="AQ48" s="1" t="s">
        <v>37</v>
      </c>
    </row>
    <row r="49" spans="1:43" x14ac:dyDescent="0.3">
      <c r="A49" s="1"/>
      <c r="B49" s="1"/>
      <c r="C49" s="1"/>
      <c r="D49" s="1"/>
      <c r="E49" s="1"/>
      <c r="F49" s="1"/>
      <c r="G49" s="1"/>
      <c r="I49" s="1"/>
      <c r="J49" s="1"/>
      <c r="K49" s="1"/>
      <c r="L49" s="1"/>
      <c r="M49" s="1"/>
      <c r="N49" s="1"/>
      <c r="O49" s="1"/>
      <c r="P49" s="1"/>
      <c r="AC49" s="1"/>
      <c r="AD49" s="1"/>
      <c r="AE49" s="1"/>
      <c r="AF49" s="1"/>
      <c r="AG49" s="4"/>
      <c r="AH49" s="1"/>
      <c r="AJ49" s="1" t="s">
        <v>54</v>
      </c>
      <c r="AK49" s="1" t="s">
        <v>43</v>
      </c>
      <c r="AL49" s="1" t="s">
        <v>55</v>
      </c>
      <c r="AM49" s="1">
        <v>22.1</v>
      </c>
      <c r="AN49" s="1">
        <v>245</v>
      </c>
      <c r="AO49" s="4">
        <f t="shared" si="6"/>
        <v>5414.5</v>
      </c>
      <c r="AP49" s="1" t="s">
        <v>34</v>
      </c>
      <c r="AQ49" s="1" t="s">
        <v>37</v>
      </c>
    </row>
    <row r="50" spans="1:43" x14ac:dyDescent="0.3">
      <c r="A50" s="1"/>
      <c r="B50" s="1"/>
      <c r="C50" s="1"/>
      <c r="D50" s="1"/>
      <c r="E50" s="1"/>
      <c r="F50" s="1"/>
      <c r="G50" s="1"/>
      <c r="I50" s="1"/>
      <c r="J50" s="1"/>
      <c r="K50" s="1"/>
      <c r="L50" s="1"/>
      <c r="M50" s="1"/>
      <c r="N50" s="1"/>
      <c r="O50" s="1"/>
      <c r="P50" s="1"/>
      <c r="AC50" s="1"/>
      <c r="AD50" s="1"/>
      <c r="AE50" s="1"/>
      <c r="AF50" s="1"/>
      <c r="AG50" s="4"/>
      <c r="AH50" s="1"/>
      <c r="AJ50" s="1" t="s">
        <v>54</v>
      </c>
      <c r="AK50" s="1" t="s">
        <v>43</v>
      </c>
      <c r="AL50" s="1" t="s">
        <v>32</v>
      </c>
      <c r="AM50" s="1">
        <v>15.3</v>
      </c>
      <c r="AN50" s="1">
        <v>245</v>
      </c>
      <c r="AO50" s="4">
        <f t="shared" si="6"/>
        <v>3748.5</v>
      </c>
      <c r="AP50" s="1" t="s">
        <v>34</v>
      </c>
      <c r="AQ50" s="1" t="s">
        <v>37</v>
      </c>
    </row>
    <row r="51" spans="1:43" x14ac:dyDescent="0.3">
      <c r="A51" s="1"/>
      <c r="B51" s="1"/>
      <c r="C51" s="1"/>
      <c r="D51" s="1"/>
      <c r="E51" s="1"/>
      <c r="F51" s="1"/>
      <c r="G51" s="1"/>
      <c r="I51" s="1"/>
      <c r="J51" s="1"/>
      <c r="K51" s="1"/>
      <c r="L51" s="1"/>
      <c r="M51" s="1"/>
      <c r="N51" s="1"/>
      <c r="O51" s="1"/>
      <c r="P51" s="1"/>
      <c r="AC51" s="1"/>
      <c r="AD51" s="1"/>
      <c r="AE51" s="1"/>
      <c r="AF51" s="1"/>
      <c r="AG51" s="4"/>
      <c r="AH51" s="1"/>
      <c r="AJ51" s="1" t="s">
        <v>57</v>
      </c>
      <c r="AK51" s="1" t="s">
        <v>33</v>
      </c>
      <c r="AL51" s="1" t="s">
        <v>39</v>
      </c>
      <c r="AM51" s="1">
        <v>27.7</v>
      </c>
      <c r="AN51" s="1">
        <v>240</v>
      </c>
      <c r="AO51" s="4">
        <f t="shared" si="6"/>
        <v>6648</v>
      </c>
      <c r="AP51" s="1" t="s">
        <v>34</v>
      </c>
      <c r="AQ51" s="1"/>
    </row>
    <row r="52" spans="1:43" x14ac:dyDescent="0.3">
      <c r="A52" s="1"/>
      <c r="B52" s="1"/>
      <c r="C52" s="1"/>
      <c r="D52" s="1"/>
      <c r="E52" s="1"/>
      <c r="F52" s="1"/>
      <c r="G52" s="1"/>
      <c r="I52" s="1"/>
      <c r="J52" s="1"/>
      <c r="K52" s="1"/>
      <c r="L52" s="1"/>
      <c r="M52" s="1"/>
      <c r="N52" s="1"/>
      <c r="O52" s="1"/>
      <c r="P52" s="1"/>
      <c r="AC52" s="1"/>
      <c r="AD52" s="1"/>
      <c r="AE52" s="1"/>
      <c r="AF52" s="1"/>
      <c r="AG52" s="4"/>
      <c r="AH52" s="1"/>
      <c r="AJ52" s="1" t="s">
        <v>57</v>
      </c>
      <c r="AK52" s="1" t="s">
        <v>33</v>
      </c>
      <c r="AL52" s="1" t="s">
        <v>32</v>
      </c>
      <c r="AM52" s="1">
        <v>25</v>
      </c>
      <c r="AN52" s="1">
        <v>240</v>
      </c>
      <c r="AO52" s="4">
        <f t="shared" si="6"/>
        <v>6000</v>
      </c>
      <c r="AP52" s="1" t="s">
        <v>34</v>
      </c>
      <c r="AQ52" s="1"/>
    </row>
    <row r="53" spans="1:43" x14ac:dyDescent="0.3">
      <c r="A53" s="1"/>
      <c r="B53" s="1"/>
      <c r="C53" s="1"/>
      <c r="D53" s="1"/>
      <c r="E53" s="1"/>
      <c r="F53" s="1"/>
      <c r="G53" s="1"/>
      <c r="I53" s="1"/>
      <c r="J53" s="1"/>
      <c r="K53" s="1"/>
      <c r="L53" s="1"/>
      <c r="M53" s="1"/>
      <c r="N53" s="1"/>
      <c r="O53" s="1"/>
      <c r="P53" s="1"/>
      <c r="AC53" s="1"/>
      <c r="AD53" s="1"/>
      <c r="AE53" s="1"/>
      <c r="AF53" s="1"/>
      <c r="AG53" s="4"/>
      <c r="AH53" s="1"/>
      <c r="AJ53" s="1" t="s">
        <v>57</v>
      </c>
      <c r="AK53" s="1" t="s">
        <v>33</v>
      </c>
      <c r="AL53" s="1" t="s">
        <v>49</v>
      </c>
      <c r="AM53" s="1">
        <v>24.7</v>
      </c>
      <c r="AN53" s="1">
        <v>240</v>
      </c>
      <c r="AO53" s="4">
        <f t="shared" si="6"/>
        <v>5928</v>
      </c>
      <c r="AP53" s="1" t="s">
        <v>34</v>
      </c>
      <c r="AQ53" s="1"/>
    </row>
    <row r="54" spans="1:43" x14ac:dyDescent="0.3">
      <c r="A54" s="1"/>
      <c r="B54" s="1"/>
      <c r="C54" s="1"/>
      <c r="D54" s="1"/>
      <c r="E54" s="1"/>
      <c r="F54" s="1"/>
      <c r="G54" s="1"/>
      <c r="I54" s="1"/>
      <c r="J54" s="1"/>
      <c r="K54" s="1"/>
      <c r="L54" s="1"/>
      <c r="M54" s="1"/>
      <c r="N54" s="1"/>
      <c r="O54" s="1"/>
      <c r="P54" s="1"/>
      <c r="AC54" s="1"/>
      <c r="AD54" s="1"/>
      <c r="AE54" s="1"/>
      <c r="AF54" s="1"/>
      <c r="AG54" s="4"/>
      <c r="AH54" s="1"/>
      <c r="AJ54" s="1" t="s">
        <v>57</v>
      </c>
      <c r="AK54" s="1" t="s">
        <v>33</v>
      </c>
      <c r="AL54" s="1" t="s">
        <v>30</v>
      </c>
      <c r="AM54" s="1">
        <v>23.7</v>
      </c>
      <c r="AN54" s="1">
        <v>240</v>
      </c>
      <c r="AO54" s="4">
        <f t="shared" si="6"/>
        <v>5688</v>
      </c>
      <c r="AP54" s="1" t="s">
        <v>34</v>
      </c>
      <c r="AQ54" s="1"/>
    </row>
    <row r="55" spans="1:43" x14ac:dyDescent="0.3">
      <c r="A55" s="1"/>
      <c r="B55" s="1"/>
      <c r="C55" s="1"/>
      <c r="D55" s="1"/>
      <c r="E55" s="1"/>
      <c r="F55" s="1"/>
      <c r="G55" s="1"/>
      <c r="I55" s="1"/>
      <c r="J55" s="1"/>
      <c r="K55" s="1"/>
      <c r="L55" s="1"/>
      <c r="M55" s="1"/>
      <c r="N55" s="1"/>
      <c r="O55" s="1"/>
      <c r="P55" s="1"/>
      <c r="AC55" s="1"/>
      <c r="AD55" s="1"/>
      <c r="AE55" s="1"/>
      <c r="AF55" s="1"/>
      <c r="AG55" s="4"/>
      <c r="AH55" s="1"/>
      <c r="AJ55" s="1" t="s">
        <v>58</v>
      </c>
      <c r="AK55" s="1" t="s">
        <v>38</v>
      </c>
      <c r="AL55" s="1" t="s">
        <v>49</v>
      </c>
      <c r="AM55" s="1">
        <v>19.8</v>
      </c>
      <c r="AN55" s="1">
        <v>390</v>
      </c>
      <c r="AO55" s="4">
        <f t="shared" si="6"/>
        <v>7722</v>
      </c>
      <c r="AP55" s="1" t="s">
        <v>34</v>
      </c>
      <c r="AQ55" s="1"/>
    </row>
    <row r="56" spans="1:43" x14ac:dyDescent="0.3">
      <c r="A56" s="1"/>
      <c r="B56" s="1"/>
      <c r="C56" s="1"/>
      <c r="D56" s="1"/>
      <c r="E56" s="1"/>
      <c r="F56" s="1"/>
      <c r="G56" s="1"/>
      <c r="I56" s="1"/>
      <c r="J56" s="1"/>
      <c r="K56" s="1"/>
      <c r="L56" s="1"/>
      <c r="M56" s="1"/>
      <c r="N56" s="1"/>
      <c r="O56" s="1"/>
      <c r="P56" s="1"/>
      <c r="AC56" s="1"/>
      <c r="AD56" s="1"/>
      <c r="AE56" s="1"/>
      <c r="AF56" s="1"/>
      <c r="AG56" s="4"/>
      <c r="AH56" s="1"/>
      <c r="AJ56" s="1" t="s">
        <v>58</v>
      </c>
      <c r="AK56" s="1" t="s">
        <v>38</v>
      </c>
      <c r="AL56" s="1" t="s">
        <v>23</v>
      </c>
      <c r="AM56" s="1">
        <v>24.3</v>
      </c>
      <c r="AN56" s="1">
        <v>390</v>
      </c>
      <c r="AO56" s="4">
        <f t="shared" si="6"/>
        <v>9477</v>
      </c>
      <c r="AP56" s="1" t="s">
        <v>34</v>
      </c>
      <c r="AQ56" s="1"/>
    </row>
    <row r="57" spans="1:43" x14ac:dyDescent="0.3">
      <c r="A57" s="1"/>
      <c r="B57" s="1"/>
      <c r="C57" s="1"/>
      <c r="D57" s="1"/>
      <c r="E57" s="1"/>
      <c r="F57" s="1"/>
      <c r="G57" s="1"/>
      <c r="I57" s="1"/>
      <c r="J57" s="1"/>
      <c r="K57" s="1"/>
      <c r="L57" s="1"/>
      <c r="M57" s="1"/>
      <c r="N57" s="1"/>
      <c r="O57" s="1"/>
      <c r="P57" s="1"/>
      <c r="AC57" s="1"/>
      <c r="AD57" s="1"/>
      <c r="AE57" s="1"/>
      <c r="AF57" s="1"/>
      <c r="AG57" s="4"/>
      <c r="AH57" s="1"/>
      <c r="AJ57" s="1" t="s">
        <v>58</v>
      </c>
      <c r="AK57" s="1" t="s">
        <v>38</v>
      </c>
      <c r="AL57" s="1" t="s">
        <v>2</v>
      </c>
      <c r="AM57" s="1">
        <v>27</v>
      </c>
      <c r="AN57" s="1">
        <v>390</v>
      </c>
      <c r="AO57" s="4">
        <f t="shared" si="6"/>
        <v>10530</v>
      </c>
      <c r="AP57" s="1" t="s">
        <v>34</v>
      </c>
      <c r="AQ57" s="1"/>
    </row>
    <row r="58" spans="1:43" x14ac:dyDescent="0.3">
      <c r="A58" s="1"/>
      <c r="B58" s="1"/>
      <c r="C58" s="1"/>
      <c r="D58" s="1"/>
      <c r="E58" s="1"/>
      <c r="F58" s="1"/>
      <c r="G58" s="1"/>
      <c r="I58" s="1"/>
      <c r="J58" s="1"/>
      <c r="K58" s="1"/>
      <c r="L58" s="1"/>
      <c r="M58" s="1"/>
      <c r="N58" s="1"/>
      <c r="O58" s="1"/>
      <c r="P58" s="1"/>
      <c r="AC58" s="1"/>
      <c r="AD58" s="1"/>
      <c r="AE58" s="1"/>
      <c r="AF58" s="1"/>
      <c r="AG58" s="4"/>
      <c r="AH58" s="1"/>
      <c r="AJ58" s="1"/>
      <c r="AK58" s="1"/>
      <c r="AL58" s="1"/>
      <c r="AM58" s="1"/>
      <c r="AN58" s="1"/>
      <c r="AO58" s="4"/>
      <c r="AP58" s="1"/>
      <c r="AQ58" s="1"/>
    </row>
    <row r="59" spans="1:43" x14ac:dyDescent="0.3">
      <c r="A59" s="1"/>
      <c r="B59" s="1"/>
      <c r="C59" s="1"/>
      <c r="D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  <c r="AC59" s="1"/>
      <c r="AD59" s="1"/>
      <c r="AE59" s="1"/>
      <c r="AF59" s="1"/>
      <c r="AG59" s="4"/>
      <c r="AH59" s="1"/>
      <c r="AJ59" s="1" t="s">
        <v>59</v>
      </c>
      <c r="AK59" s="1" t="s">
        <v>61</v>
      </c>
      <c r="AL59" s="1" t="s">
        <v>49</v>
      </c>
      <c r="AM59" s="1">
        <v>21</v>
      </c>
      <c r="AN59" s="1">
        <v>325</v>
      </c>
      <c r="AO59" s="4">
        <f t="shared" ref="AO59:AO68" si="8">AM59*AN59</f>
        <v>6825</v>
      </c>
      <c r="AP59" s="1" t="s">
        <v>62</v>
      </c>
      <c r="AQ59" s="1" t="s">
        <v>56</v>
      </c>
    </row>
    <row r="60" spans="1:43" x14ac:dyDescent="0.3">
      <c r="A60" s="1"/>
      <c r="B60" s="1"/>
      <c r="C60" s="1"/>
      <c r="D60" s="1"/>
      <c r="E60" s="1"/>
      <c r="F60" s="1"/>
      <c r="G60" s="1"/>
      <c r="I60" s="1"/>
      <c r="J60" s="1"/>
      <c r="K60" s="1"/>
      <c r="L60" s="1"/>
      <c r="M60" s="1"/>
      <c r="N60" s="1"/>
      <c r="O60" s="1"/>
      <c r="P60" s="1"/>
      <c r="AC60" s="1"/>
      <c r="AD60" s="1"/>
      <c r="AE60" s="1"/>
      <c r="AF60" s="1"/>
      <c r="AG60" s="4"/>
      <c r="AH60" s="1"/>
      <c r="AJ60" s="1" t="s">
        <v>59</v>
      </c>
      <c r="AK60" s="1" t="s">
        <v>61</v>
      </c>
      <c r="AL60" s="1" t="s">
        <v>60</v>
      </c>
      <c r="AM60" s="1">
        <v>20.100000000000001</v>
      </c>
      <c r="AN60" s="1">
        <v>325</v>
      </c>
      <c r="AO60" s="4">
        <f t="shared" si="8"/>
        <v>6532.5000000000009</v>
      </c>
      <c r="AP60" s="1" t="s">
        <v>62</v>
      </c>
      <c r="AQ60" s="1" t="s">
        <v>56</v>
      </c>
    </row>
    <row r="61" spans="1:43" x14ac:dyDescent="0.3">
      <c r="A61" s="1"/>
      <c r="B61" s="1"/>
      <c r="C61" s="1"/>
      <c r="D61" s="1"/>
      <c r="E61" s="1"/>
      <c r="F61" s="1"/>
      <c r="G61" s="1"/>
      <c r="I61" s="1"/>
      <c r="J61" s="1"/>
      <c r="K61" s="1"/>
      <c r="L61" s="1"/>
      <c r="M61" s="1"/>
      <c r="N61" s="1"/>
      <c r="O61" s="1"/>
      <c r="P61" s="1"/>
      <c r="AC61" s="1"/>
      <c r="AD61" s="1"/>
      <c r="AE61" s="1"/>
      <c r="AF61" s="1"/>
      <c r="AG61" s="4"/>
      <c r="AH61" s="1"/>
      <c r="AJ61" s="1" t="s">
        <v>59</v>
      </c>
      <c r="AK61" s="1" t="s">
        <v>61</v>
      </c>
      <c r="AL61" s="1" t="s">
        <v>60</v>
      </c>
      <c r="AM61" s="1">
        <v>22.2</v>
      </c>
      <c r="AN61" s="1">
        <v>325</v>
      </c>
      <c r="AO61" s="4">
        <f t="shared" si="8"/>
        <v>7215</v>
      </c>
      <c r="AP61" s="1" t="s">
        <v>62</v>
      </c>
      <c r="AQ61" s="1" t="s">
        <v>56</v>
      </c>
    </row>
    <row r="62" spans="1:43" x14ac:dyDescent="0.3">
      <c r="A62" s="1"/>
      <c r="B62" s="1"/>
      <c r="C62" s="1"/>
      <c r="D62" s="1"/>
      <c r="E62" s="1"/>
      <c r="F62" s="1"/>
      <c r="G62" s="1"/>
      <c r="I62" s="1"/>
      <c r="J62" s="1"/>
      <c r="K62" s="1"/>
      <c r="L62" s="1"/>
      <c r="M62" s="1"/>
      <c r="N62" s="1"/>
      <c r="O62" s="1"/>
      <c r="P62" s="1"/>
      <c r="AC62" s="1"/>
      <c r="AD62" s="1"/>
      <c r="AE62" s="1"/>
      <c r="AF62" s="1"/>
      <c r="AG62" s="4"/>
      <c r="AH62" s="1"/>
      <c r="AJ62" s="1" t="s">
        <v>59</v>
      </c>
      <c r="AK62" s="1" t="s">
        <v>61</v>
      </c>
      <c r="AL62" s="1" t="s">
        <v>49</v>
      </c>
      <c r="AM62" s="1">
        <v>16.2</v>
      </c>
      <c r="AN62" s="1">
        <v>325</v>
      </c>
      <c r="AO62" s="4">
        <f t="shared" si="8"/>
        <v>5265</v>
      </c>
      <c r="AP62" s="1" t="s">
        <v>62</v>
      </c>
      <c r="AQ62" s="1" t="s">
        <v>56</v>
      </c>
    </row>
    <row r="63" spans="1:43" x14ac:dyDescent="0.3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AC63" s="1"/>
      <c r="AD63" s="1"/>
      <c r="AE63" s="1"/>
      <c r="AF63" s="1"/>
      <c r="AG63" s="4"/>
      <c r="AH63" s="1"/>
      <c r="AJ63" s="1" t="s">
        <v>59</v>
      </c>
      <c r="AK63" s="1" t="s">
        <v>61</v>
      </c>
      <c r="AL63" s="1" t="s">
        <v>49</v>
      </c>
      <c r="AM63" s="1">
        <v>20.3</v>
      </c>
      <c r="AN63" s="1">
        <v>325</v>
      </c>
      <c r="AO63" s="4">
        <f t="shared" si="8"/>
        <v>6597.5</v>
      </c>
      <c r="AP63" s="1" t="s">
        <v>62</v>
      </c>
      <c r="AQ63" s="1" t="s">
        <v>56</v>
      </c>
    </row>
    <row r="64" spans="1:43" x14ac:dyDescent="0.3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AC64" s="1"/>
      <c r="AD64" s="1"/>
      <c r="AE64" s="1"/>
      <c r="AF64" s="1"/>
      <c r="AG64" s="4"/>
      <c r="AH64" s="1"/>
      <c r="AJ64" s="1" t="s">
        <v>63</v>
      </c>
      <c r="AK64" s="1" t="s">
        <v>61</v>
      </c>
      <c r="AL64" s="1" t="s">
        <v>49</v>
      </c>
      <c r="AM64" s="1">
        <v>38.200000000000003</v>
      </c>
      <c r="AN64" s="1">
        <v>325</v>
      </c>
      <c r="AO64" s="4">
        <f t="shared" si="8"/>
        <v>12415.000000000002</v>
      </c>
      <c r="AP64" s="1" t="s">
        <v>62</v>
      </c>
      <c r="AQ64" s="1" t="s">
        <v>37</v>
      </c>
    </row>
    <row r="65" spans="1:43" x14ac:dyDescent="0.3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AC65" s="1"/>
      <c r="AD65" s="1"/>
      <c r="AE65" s="1"/>
      <c r="AF65" s="1"/>
      <c r="AG65" s="4"/>
      <c r="AH65" s="1"/>
      <c r="AJ65" s="1" t="s">
        <v>63</v>
      </c>
      <c r="AK65" s="1" t="s">
        <v>61</v>
      </c>
      <c r="AL65" s="1" t="s">
        <v>10</v>
      </c>
      <c r="AM65" s="1">
        <v>40</v>
      </c>
      <c r="AN65" s="1">
        <v>325</v>
      </c>
      <c r="AO65" s="4">
        <f t="shared" si="8"/>
        <v>13000</v>
      </c>
      <c r="AP65" s="1" t="s">
        <v>62</v>
      </c>
      <c r="AQ65" s="1" t="s">
        <v>37</v>
      </c>
    </row>
    <row r="66" spans="1:43" x14ac:dyDescent="0.3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AC66" s="1"/>
      <c r="AD66" s="1"/>
      <c r="AE66" s="1"/>
      <c r="AF66" s="1"/>
      <c r="AG66" s="4"/>
      <c r="AH66" s="1"/>
      <c r="AJ66" s="1" t="s">
        <v>64</v>
      </c>
      <c r="AK66" s="1" t="s">
        <v>66</v>
      </c>
      <c r="AL66" s="1" t="s">
        <v>65</v>
      </c>
      <c r="AM66" s="1">
        <v>19.8</v>
      </c>
      <c r="AN66" s="1">
        <v>310</v>
      </c>
      <c r="AO66" s="4">
        <f t="shared" si="8"/>
        <v>6138</v>
      </c>
      <c r="AP66" s="1" t="s">
        <v>67</v>
      </c>
      <c r="AQ66" s="1" t="s">
        <v>56</v>
      </c>
    </row>
    <row r="67" spans="1:43" x14ac:dyDescent="0.3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AC67" s="1"/>
      <c r="AD67" s="1"/>
      <c r="AE67" s="1"/>
      <c r="AF67" s="1"/>
      <c r="AG67" s="4"/>
      <c r="AH67" s="1"/>
      <c r="AJ67" s="1" t="s">
        <v>64</v>
      </c>
      <c r="AK67" s="1" t="s">
        <v>66</v>
      </c>
      <c r="AL67" s="1" t="s">
        <v>60</v>
      </c>
      <c r="AM67" s="1">
        <v>19.399999999999999</v>
      </c>
      <c r="AN67" s="1">
        <v>310</v>
      </c>
      <c r="AO67" s="4">
        <f t="shared" si="8"/>
        <v>6014</v>
      </c>
      <c r="AP67" s="1" t="s">
        <v>67</v>
      </c>
      <c r="AQ67" s="1" t="s">
        <v>56</v>
      </c>
    </row>
    <row r="68" spans="1:43" x14ac:dyDescent="0.3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AC68" s="1"/>
      <c r="AD68" s="1"/>
      <c r="AE68" s="1"/>
      <c r="AF68" s="1"/>
      <c r="AG68" s="4"/>
      <c r="AH68" s="1"/>
      <c r="AJ68" s="1" t="s">
        <v>64</v>
      </c>
      <c r="AK68" s="1" t="s">
        <v>66</v>
      </c>
      <c r="AL68" s="1" t="s">
        <v>49</v>
      </c>
      <c r="AM68" s="1">
        <v>33.4</v>
      </c>
      <c r="AN68" s="1">
        <v>310</v>
      </c>
      <c r="AO68" s="4">
        <f t="shared" si="8"/>
        <v>10354</v>
      </c>
      <c r="AP68" s="1" t="s">
        <v>67</v>
      </c>
      <c r="AQ68" s="1" t="s">
        <v>56</v>
      </c>
    </row>
    <row r="69" spans="1:43" x14ac:dyDescent="0.3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AC69" s="1" t="s">
        <v>22</v>
      </c>
      <c r="AD69" s="1" t="s">
        <v>11</v>
      </c>
      <c r="AE69" s="1">
        <v>0</v>
      </c>
      <c r="AF69" s="1">
        <v>185</v>
      </c>
      <c r="AG69" s="4">
        <f t="shared" ref="AG69:AG83" si="9">AF69*AE69</f>
        <v>0</v>
      </c>
      <c r="AH69" s="1" t="s">
        <v>21</v>
      </c>
      <c r="AJ69" s="1"/>
      <c r="AK69" s="1"/>
      <c r="AL69" s="1"/>
      <c r="AM69" s="1"/>
      <c r="AN69" s="1"/>
      <c r="AO69" s="4"/>
      <c r="AP69" s="1"/>
      <c r="AQ69" s="1"/>
    </row>
    <row r="70" spans="1:43" x14ac:dyDescent="0.3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AC70" s="1" t="s">
        <v>22</v>
      </c>
      <c r="AD70" s="1" t="s">
        <v>23</v>
      </c>
      <c r="AE70" s="1">
        <v>0</v>
      </c>
      <c r="AF70" s="1">
        <v>185</v>
      </c>
      <c r="AG70" s="4">
        <f t="shared" si="9"/>
        <v>0</v>
      </c>
      <c r="AH70" s="1" t="s">
        <v>21</v>
      </c>
      <c r="AJ70" s="1"/>
      <c r="AK70" s="1"/>
      <c r="AL70" s="1"/>
      <c r="AM70" s="1"/>
      <c r="AN70" s="1"/>
      <c r="AO70" s="4"/>
      <c r="AP70" s="1"/>
      <c r="AQ70" s="1"/>
    </row>
    <row r="71" spans="1:43" x14ac:dyDescent="0.3">
      <c r="A71" s="1"/>
      <c r="B71" s="1"/>
      <c r="C71" s="6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AC71" s="1" t="s">
        <v>22</v>
      </c>
      <c r="AD71" s="1" t="s">
        <v>24</v>
      </c>
      <c r="AE71" s="1">
        <v>0</v>
      </c>
      <c r="AF71" s="1">
        <v>185</v>
      </c>
      <c r="AG71" s="4">
        <f t="shared" si="9"/>
        <v>0</v>
      </c>
      <c r="AH71" s="1" t="s">
        <v>21</v>
      </c>
      <c r="AJ71" s="1"/>
      <c r="AK71" s="1"/>
      <c r="AL71" s="1"/>
      <c r="AM71" s="1"/>
      <c r="AN71" s="1"/>
      <c r="AO71" s="4"/>
      <c r="AP71" s="1"/>
      <c r="AQ71" s="1"/>
    </row>
    <row r="72" spans="1:43" x14ac:dyDescent="0.3">
      <c r="A72" s="1"/>
      <c r="B72" s="1"/>
      <c r="C72" s="6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AC72" s="1" t="s">
        <v>22</v>
      </c>
      <c r="AD72" s="1" t="s">
        <v>20</v>
      </c>
      <c r="AE72" s="1">
        <v>0</v>
      </c>
      <c r="AF72" s="1">
        <v>185</v>
      </c>
      <c r="AG72" s="4">
        <f t="shared" si="9"/>
        <v>0</v>
      </c>
      <c r="AH72" s="1" t="s">
        <v>21</v>
      </c>
      <c r="AJ72" s="1"/>
      <c r="AK72" s="1"/>
      <c r="AL72" s="1"/>
      <c r="AM72" s="1"/>
      <c r="AN72" s="1"/>
      <c r="AO72" s="4"/>
      <c r="AP72" s="1"/>
      <c r="AQ72" s="1"/>
    </row>
    <row r="73" spans="1:43" x14ac:dyDescent="0.3">
      <c r="A73" s="1"/>
      <c r="B73" s="1"/>
      <c r="C73" s="6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AC73" s="1" t="s">
        <v>22</v>
      </c>
      <c r="AD73" s="1" t="s">
        <v>68</v>
      </c>
      <c r="AE73" s="1">
        <v>0</v>
      </c>
      <c r="AF73" s="1">
        <v>185</v>
      </c>
      <c r="AG73" s="4">
        <f t="shared" si="9"/>
        <v>0</v>
      </c>
      <c r="AH73" s="1" t="s">
        <v>21</v>
      </c>
      <c r="AJ73" s="1"/>
      <c r="AK73" s="1"/>
      <c r="AL73" s="1"/>
      <c r="AM73" s="1"/>
      <c r="AN73" s="1"/>
      <c r="AO73" s="4"/>
      <c r="AP73" s="1"/>
      <c r="AQ73" s="1"/>
    </row>
    <row r="74" spans="1:43" x14ac:dyDescent="0.3">
      <c r="A74" s="1"/>
      <c r="B74" s="1"/>
      <c r="C74" s="6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AC74" s="1" t="s">
        <v>22</v>
      </c>
      <c r="AD74" s="1" t="s">
        <v>69</v>
      </c>
      <c r="AE74" s="1">
        <v>0</v>
      </c>
      <c r="AF74" s="1">
        <v>185</v>
      </c>
      <c r="AG74" s="4">
        <f t="shared" si="9"/>
        <v>0</v>
      </c>
      <c r="AH74" s="1" t="s">
        <v>21</v>
      </c>
      <c r="AJ74" s="1"/>
      <c r="AK74" s="1"/>
      <c r="AL74" s="1"/>
      <c r="AM74" s="1"/>
      <c r="AN74" s="1"/>
      <c r="AO74" s="4"/>
      <c r="AP74" s="1"/>
      <c r="AQ74" s="1"/>
    </row>
    <row r="75" spans="1:43" x14ac:dyDescent="0.3">
      <c r="A75" s="1"/>
      <c r="B75" s="1"/>
      <c r="C75" s="6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AC75" s="1" t="s">
        <v>9</v>
      </c>
      <c r="AD75" s="1" t="s">
        <v>11</v>
      </c>
      <c r="AE75" s="1">
        <v>0</v>
      </c>
      <c r="AF75" s="1">
        <v>280</v>
      </c>
      <c r="AG75" s="4">
        <f t="shared" si="9"/>
        <v>0</v>
      </c>
      <c r="AH75" s="1" t="s">
        <v>51</v>
      </c>
      <c r="AJ75" s="1"/>
      <c r="AK75" s="1"/>
      <c r="AL75" s="1"/>
      <c r="AM75" s="1"/>
      <c r="AN75" s="1"/>
      <c r="AO75" s="4"/>
      <c r="AP75" s="1"/>
      <c r="AQ75" s="1"/>
    </row>
    <row r="76" spans="1:43" x14ac:dyDescent="0.3">
      <c r="A76" s="1"/>
      <c r="B76" s="1"/>
      <c r="C76" s="6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AC76" s="1" t="s">
        <v>9</v>
      </c>
      <c r="AD76" s="1" t="s">
        <v>11</v>
      </c>
      <c r="AE76" s="1">
        <v>0</v>
      </c>
      <c r="AF76" s="1">
        <v>310</v>
      </c>
      <c r="AG76" s="4">
        <f t="shared" si="9"/>
        <v>0</v>
      </c>
      <c r="AH76" s="1" t="s">
        <v>51</v>
      </c>
      <c r="AJ76" s="1"/>
      <c r="AK76" s="1"/>
      <c r="AL76" s="1"/>
      <c r="AM76" s="1"/>
      <c r="AN76" s="1"/>
      <c r="AO76" s="4"/>
      <c r="AP76" s="1"/>
      <c r="AQ76" s="1"/>
    </row>
    <row r="77" spans="1:43" x14ac:dyDescent="0.3">
      <c r="A77" s="1"/>
      <c r="B77" s="1"/>
      <c r="C77" s="6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AC77" s="1" t="s">
        <v>9</v>
      </c>
      <c r="AD77" s="1" t="s">
        <v>8</v>
      </c>
      <c r="AE77" s="1">
        <v>0</v>
      </c>
      <c r="AF77" s="1">
        <v>310</v>
      </c>
      <c r="AG77" s="4">
        <f t="shared" si="9"/>
        <v>0</v>
      </c>
      <c r="AH77" s="1" t="s">
        <v>51</v>
      </c>
      <c r="AJ77" s="1"/>
      <c r="AK77" s="1"/>
      <c r="AL77" s="1"/>
      <c r="AM77" s="1"/>
      <c r="AN77" s="1"/>
      <c r="AO77" s="4"/>
      <c r="AP77" s="1"/>
      <c r="AQ77" s="1"/>
    </row>
    <row r="78" spans="1:43" x14ac:dyDescent="0.3">
      <c r="A78" s="1"/>
      <c r="B78" s="1"/>
      <c r="C78" s="6"/>
      <c r="D78" s="1"/>
      <c r="E78" s="1"/>
      <c r="F78" s="1"/>
      <c r="G78" s="1"/>
      <c r="I78" s="1"/>
      <c r="J78" s="1"/>
      <c r="K78" s="1"/>
      <c r="L78" s="1"/>
      <c r="M78" s="1"/>
      <c r="N78" s="1"/>
      <c r="O78" s="1"/>
      <c r="P78" s="1"/>
      <c r="AC78" s="1" t="s">
        <v>9</v>
      </c>
      <c r="AD78" s="1" t="s">
        <v>10</v>
      </c>
      <c r="AE78" s="1">
        <v>0</v>
      </c>
      <c r="AF78" s="1">
        <v>310</v>
      </c>
      <c r="AG78" s="4">
        <f t="shared" si="9"/>
        <v>0</v>
      </c>
      <c r="AH78" s="1" t="s">
        <v>51</v>
      </c>
      <c r="AJ78" s="1"/>
      <c r="AK78" s="1"/>
      <c r="AL78" s="1"/>
      <c r="AM78" s="1"/>
      <c r="AN78" s="1"/>
      <c r="AO78" s="4"/>
      <c r="AP78" s="1"/>
      <c r="AQ78" s="1"/>
    </row>
    <row r="79" spans="1:43" x14ac:dyDescent="0.3">
      <c r="A79" s="1"/>
      <c r="B79" s="1"/>
      <c r="C79" s="6"/>
      <c r="D79" s="1"/>
      <c r="E79" s="1"/>
      <c r="F79" s="1"/>
      <c r="G79" s="1"/>
      <c r="I79" s="1"/>
      <c r="J79" s="1"/>
      <c r="K79" s="1"/>
      <c r="L79" s="1"/>
      <c r="M79" s="1"/>
      <c r="N79" s="1"/>
      <c r="O79" s="1"/>
      <c r="P79" s="1"/>
      <c r="AC79" s="1" t="s">
        <v>9</v>
      </c>
      <c r="AD79" s="1" t="s">
        <v>8</v>
      </c>
      <c r="AE79" s="1">
        <v>0</v>
      </c>
      <c r="AF79" s="1">
        <v>310</v>
      </c>
      <c r="AG79" s="4">
        <f t="shared" si="9"/>
        <v>0</v>
      </c>
      <c r="AH79" s="1" t="s">
        <v>51</v>
      </c>
      <c r="AJ79" s="1"/>
      <c r="AK79" s="1"/>
      <c r="AL79" s="1"/>
      <c r="AM79" s="1"/>
      <c r="AN79" s="1"/>
      <c r="AO79" s="4"/>
      <c r="AP79" s="1"/>
      <c r="AQ79" s="1"/>
    </row>
    <row r="80" spans="1:43" x14ac:dyDescent="0.3">
      <c r="A80" s="1"/>
      <c r="B80" s="1"/>
      <c r="C80" s="6"/>
      <c r="D80" s="1"/>
      <c r="E80" s="1"/>
      <c r="F80" s="1"/>
      <c r="G80" s="1"/>
      <c r="I80" s="1"/>
      <c r="J80" s="1"/>
      <c r="K80" s="1"/>
      <c r="L80" s="1"/>
      <c r="M80" s="1"/>
      <c r="N80" s="1"/>
      <c r="O80" s="1"/>
      <c r="P80" s="1"/>
      <c r="AC80" s="1" t="s">
        <v>5</v>
      </c>
      <c r="AD80" s="1" t="s">
        <v>4</v>
      </c>
      <c r="AE80" s="1">
        <v>0</v>
      </c>
      <c r="AF80" s="1">
        <v>240</v>
      </c>
      <c r="AG80" s="4">
        <f t="shared" si="9"/>
        <v>0</v>
      </c>
      <c r="AH80" s="1" t="s">
        <v>51</v>
      </c>
      <c r="AJ80" s="1"/>
      <c r="AK80" s="1"/>
      <c r="AL80" s="1"/>
      <c r="AM80" s="1"/>
      <c r="AN80" s="1"/>
      <c r="AO80" s="4"/>
      <c r="AP80" s="1"/>
      <c r="AQ80" s="1"/>
    </row>
    <row r="81" spans="1:43" x14ac:dyDescent="0.3">
      <c r="A81" s="1"/>
      <c r="B81" s="1"/>
      <c r="C81" s="6"/>
      <c r="D81" s="1"/>
      <c r="E81" s="1"/>
      <c r="F81" s="1"/>
      <c r="G81" s="1"/>
      <c r="I81" s="1"/>
      <c r="J81" s="1"/>
      <c r="K81" s="1"/>
      <c r="L81" s="1"/>
      <c r="M81" s="1"/>
      <c r="N81" s="1"/>
      <c r="O81" s="1"/>
      <c r="P81" s="1"/>
      <c r="AC81" s="1" t="s">
        <v>1</v>
      </c>
      <c r="AD81" s="1" t="s">
        <v>3</v>
      </c>
      <c r="AE81" s="1">
        <v>0</v>
      </c>
      <c r="AF81" s="1">
        <v>240</v>
      </c>
      <c r="AG81" s="4">
        <f t="shared" si="9"/>
        <v>0</v>
      </c>
      <c r="AH81" s="1" t="s">
        <v>51</v>
      </c>
      <c r="AJ81" s="1"/>
      <c r="AK81" s="1"/>
      <c r="AL81" s="1"/>
      <c r="AM81" s="1"/>
      <c r="AN81" s="1"/>
      <c r="AO81" s="4"/>
      <c r="AP81" s="1"/>
      <c r="AQ81" s="1"/>
    </row>
    <row r="82" spans="1:43" x14ac:dyDescent="0.3">
      <c r="A82" s="1"/>
      <c r="B82" s="1"/>
      <c r="C82" s="6"/>
      <c r="D82" s="1"/>
      <c r="E82" s="1"/>
      <c r="F82" s="1"/>
      <c r="G82" s="1"/>
      <c r="I82" s="1"/>
      <c r="J82" s="1"/>
      <c r="K82" s="1"/>
      <c r="L82" s="1"/>
      <c r="M82" s="1"/>
      <c r="N82" s="1"/>
      <c r="O82" s="1"/>
      <c r="P82" s="1"/>
      <c r="AC82" s="1" t="s">
        <v>1</v>
      </c>
      <c r="AD82" s="1" t="s">
        <v>2</v>
      </c>
      <c r="AE82" s="1">
        <v>0</v>
      </c>
      <c r="AF82" s="1">
        <v>240</v>
      </c>
      <c r="AG82" s="4">
        <f t="shared" si="9"/>
        <v>0</v>
      </c>
      <c r="AH82" s="1" t="s">
        <v>51</v>
      </c>
      <c r="AJ82" s="1"/>
      <c r="AK82" s="1"/>
      <c r="AL82" s="1"/>
      <c r="AM82" s="1"/>
      <c r="AN82" s="1"/>
      <c r="AO82" s="4"/>
      <c r="AP82" s="1"/>
      <c r="AQ82" s="1"/>
    </row>
    <row r="83" spans="1:43" x14ac:dyDescent="0.3">
      <c r="A83" s="1"/>
      <c r="B83" s="1"/>
      <c r="C83" s="6"/>
      <c r="D83" s="1"/>
      <c r="E83" s="1"/>
      <c r="F83" s="1"/>
      <c r="G83" s="1"/>
      <c r="I83" s="1"/>
      <c r="J83" s="1"/>
      <c r="K83" s="1"/>
      <c r="L83" s="1"/>
      <c r="M83" s="1"/>
      <c r="N83" s="1"/>
      <c r="O83" s="1"/>
      <c r="P83" s="1"/>
      <c r="AC83" s="1" t="s">
        <v>1</v>
      </c>
      <c r="AD83" s="1" t="s">
        <v>0</v>
      </c>
      <c r="AE83" s="1">
        <v>0</v>
      </c>
      <c r="AF83" s="1">
        <v>240</v>
      </c>
      <c r="AG83" s="4">
        <f t="shared" si="9"/>
        <v>0</v>
      </c>
      <c r="AH83" s="1" t="s">
        <v>51</v>
      </c>
      <c r="AJ83" s="1"/>
      <c r="AK83" s="1"/>
      <c r="AL83" s="1"/>
      <c r="AM83" s="1"/>
      <c r="AN83" s="1"/>
      <c r="AO83" s="4"/>
      <c r="AP83" s="1"/>
      <c r="AQ83" s="1"/>
    </row>
    <row r="84" spans="1:43" x14ac:dyDescent="0.3">
      <c r="A84" s="1"/>
      <c r="B84" s="1"/>
      <c r="C84" s="6"/>
      <c r="D84" s="1"/>
      <c r="E84" s="1"/>
      <c r="F84" s="1"/>
      <c r="G84" s="1"/>
      <c r="I84" s="1"/>
      <c r="J84" s="1"/>
      <c r="K84" s="1"/>
      <c r="L84" s="1"/>
      <c r="M84" s="1"/>
      <c r="N84" s="1"/>
      <c r="O84" s="1"/>
      <c r="P84" s="1"/>
      <c r="AC84" s="1" t="s">
        <v>61</v>
      </c>
      <c r="AD84" s="1" t="s">
        <v>49</v>
      </c>
      <c r="AE84" s="1">
        <v>0</v>
      </c>
      <c r="AF84" s="1">
        <v>325</v>
      </c>
      <c r="AG84" s="4">
        <f t="shared" ref="AG84:AG90" si="10">AE84*AF84</f>
        <v>0</v>
      </c>
      <c r="AH84" s="1" t="s">
        <v>62</v>
      </c>
      <c r="AJ84" s="1"/>
      <c r="AK84" s="1"/>
      <c r="AL84" s="1"/>
      <c r="AM84" s="1"/>
      <c r="AN84" s="1"/>
      <c r="AO84" s="4"/>
      <c r="AP84" s="1"/>
      <c r="AQ84" s="1"/>
    </row>
    <row r="85" spans="1:43" x14ac:dyDescent="0.3">
      <c r="A85" s="1"/>
      <c r="B85" s="1"/>
      <c r="C85" s="6"/>
      <c r="D85" s="1"/>
      <c r="E85" s="1"/>
      <c r="F85" s="1"/>
      <c r="G85" s="1"/>
      <c r="I85" s="1"/>
      <c r="J85" s="1"/>
      <c r="K85" s="1"/>
      <c r="L85" s="1"/>
      <c r="M85" s="1"/>
      <c r="N85" s="1"/>
      <c r="O85" s="1"/>
      <c r="P85" s="1"/>
      <c r="AC85" s="1" t="s">
        <v>61</v>
      </c>
      <c r="AD85" s="1" t="s">
        <v>60</v>
      </c>
      <c r="AE85" s="1">
        <v>0</v>
      </c>
      <c r="AF85" s="1">
        <v>325</v>
      </c>
      <c r="AG85" s="4">
        <f t="shared" si="10"/>
        <v>0</v>
      </c>
      <c r="AH85" s="1" t="s">
        <v>62</v>
      </c>
      <c r="AJ85" s="1"/>
      <c r="AK85" s="1"/>
      <c r="AL85" s="1"/>
      <c r="AM85" s="1"/>
      <c r="AN85" s="1"/>
      <c r="AO85" s="4"/>
      <c r="AP85" s="1"/>
      <c r="AQ85" s="1"/>
    </row>
    <row r="86" spans="1:43" x14ac:dyDescent="0.3">
      <c r="A86" s="1"/>
      <c r="B86" s="1"/>
      <c r="C86" s="6"/>
      <c r="D86" s="1"/>
      <c r="E86" s="1"/>
      <c r="F86" s="1"/>
      <c r="G86" s="1"/>
      <c r="I86" s="1"/>
      <c r="J86" s="1"/>
      <c r="K86" s="1"/>
      <c r="L86" s="1"/>
      <c r="M86" s="1"/>
      <c r="N86" s="1"/>
      <c r="O86" s="1"/>
      <c r="P86" s="1"/>
      <c r="AC86" s="1" t="s">
        <v>61</v>
      </c>
      <c r="AD86" s="1" t="s">
        <v>60</v>
      </c>
      <c r="AE86" s="1">
        <v>0</v>
      </c>
      <c r="AF86" s="1">
        <v>325</v>
      </c>
      <c r="AG86" s="4">
        <f t="shared" si="10"/>
        <v>0</v>
      </c>
      <c r="AH86" s="1" t="s">
        <v>62</v>
      </c>
      <c r="AJ86" s="1"/>
      <c r="AK86" s="1"/>
      <c r="AL86" s="1"/>
      <c r="AM86" s="1"/>
      <c r="AN86" s="1"/>
      <c r="AO86" s="4"/>
      <c r="AP86" s="1"/>
      <c r="AQ86" s="1"/>
    </row>
    <row r="87" spans="1:43" x14ac:dyDescent="0.3">
      <c r="A87" s="1"/>
      <c r="B87" s="1"/>
      <c r="C87" s="6"/>
      <c r="D87" s="1"/>
      <c r="E87" s="1"/>
      <c r="F87" s="1"/>
      <c r="G87" s="1"/>
      <c r="I87" s="1"/>
      <c r="J87" s="1"/>
      <c r="K87" s="1"/>
      <c r="L87" s="1"/>
      <c r="M87" s="1"/>
      <c r="N87" s="1"/>
      <c r="O87" s="1"/>
      <c r="P87" s="1"/>
      <c r="AC87" s="1" t="s">
        <v>61</v>
      </c>
      <c r="AD87" s="1" t="s">
        <v>49</v>
      </c>
      <c r="AE87" s="1">
        <v>0</v>
      </c>
      <c r="AF87" s="1">
        <v>325</v>
      </c>
      <c r="AG87" s="4">
        <f t="shared" si="10"/>
        <v>0</v>
      </c>
      <c r="AH87" s="1" t="s">
        <v>62</v>
      </c>
      <c r="AJ87" s="1"/>
      <c r="AK87" s="1"/>
      <c r="AL87" s="1"/>
      <c r="AM87" s="1"/>
      <c r="AN87" s="1"/>
      <c r="AO87" s="4"/>
      <c r="AP87" s="1"/>
      <c r="AQ87" s="1"/>
    </row>
    <row r="88" spans="1:43" x14ac:dyDescent="0.3">
      <c r="A88" s="1"/>
      <c r="B88" s="1"/>
      <c r="C88" s="6"/>
      <c r="D88" s="1"/>
      <c r="E88" s="1"/>
      <c r="F88" s="1"/>
      <c r="G88" s="1"/>
      <c r="I88" s="1"/>
      <c r="J88" s="1"/>
      <c r="K88" s="1"/>
      <c r="L88" s="1"/>
      <c r="M88" s="1"/>
      <c r="N88" s="1"/>
      <c r="O88" s="1"/>
      <c r="P88" s="1"/>
      <c r="AC88" s="1" t="s">
        <v>61</v>
      </c>
      <c r="AD88" s="1" t="s">
        <v>49</v>
      </c>
      <c r="AE88" s="1">
        <v>0</v>
      </c>
      <c r="AF88" s="1">
        <v>325</v>
      </c>
      <c r="AG88" s="4">
        <f t="shared" si="10"/>
        <v>0</v>
      </c>
      <c r="AH88" s="1" t="s">
        <v>62</v>
      </c>
      <c r="AJ88" s="1"/>
      <c r="AK88" s="1"/>
      <c r="AL88" s="1"/>
      <c r="AM88" s="1"/>
      <c r="AN88" s="1"/>
      <c r="AO88" s="4"/>
      <c r="AP88" s="1"/>
      <c r="AQ88" s="1"/>
    </row>
    <row r="89" spans="1:43" x14ac:dyDescent="0.3">
      <c r="A89" s="1"/>
      <c r="B89" s="1"/>
      <c r="C89" s="6"/>
      <c r="D89" s="1"/>
      <c r="E89" s="1"/>
      <c r="F89" s="1"/>
      <c r="G89" s="1"/>
      <c r="I89" s="1"/>
      <c r="J89" s="1"/>
      <c r="K89" s="1"/>
      <c r="L89" s="1"/>
      <c r="M89" s="1"/>
      <c r="N89" s="1"/>
      <c r="O89" s="1"/>
      <c r="P89" s="1"/>
      <c r="AC89" s="1" t="s">
        <v>61</v>
      </c>
      <c r="AD89" s="1" t="s">
        <v>49</v>
      </c>
      <c r="AE89" s="1">
        <v>0</v>
      </c>
      <c r="AF89" s="1">
        <v>325</v>
      </c>
      <c r="AG89" s="4">
        <f t="shared" si="10"/>
        <v>0</v>
      </c>
      <c r="AH89" s="1" t="s">
        <v>62</v>
      </c>
      <c r="AJ89" s="1"/>
      <c r="AK89" s="1"/>
      <c r="AL89" s="1"/>
      <c r="AM89" s="1"/>
      <c r="AN89" s="1"/>
      <c r="AO89" s="4"/>
      <c r="AP89" s="1"/>
      <c r="AQ89" s="1"/>
    </row>
    <row r="90" spans="1:43" x14ac:dyDescent="0.3">
      <c r="A90" s="1"/>
      <c r="B90" s="1"/>
      <c r="C90" s="6"/>
      <c r="D90" s="1"/>
      <c r="E90" s="1"/>
      <c r="F90" s="1"/>
      <c r="G90" s="1"/>
      <c r="I90" s="1"/>
      <c r="J90" s="1"/>
      <c r="K90" s="1"/>
      <c r="L90" s="1"/>
      <c r="M90" s="1"/>
      <c r="N90" s="1"/>
      <c r="O90" s="1"/>
      <c r="P90" s="1"/>
      <c r="AC90" s="1" t="s">
        <v>61</v>
      </c>
      <c r="AD90" s="1" t="s">
        <v>10</v>
      </c>
      <c r="AE90" s="1">
        <v>0</v>
      </c>
      <c r="AF90" s="1">
        <v>325</v>
      </c>
      <c r="AG90" s="4">
        <f t="shared" si="10"/>
        <v>0</v>
      </c>
      <c r="AH90" s="1" t="s">
        <v>62</v>
      </c>
      <c r="AJ90" s="1"/>
      <c r="AK90" s="1" t="s">
        <v>71</v>
      </c>
      <c r="AL90" s="1">
        <v>22</v>
      </c>
      <c r="AM90" s="1" t="s">
        <v>72</v>
      </c>
      <c r="AN90" s="1"/>
      <c r="AO90" s="4"/>
      <c r="AP90" s="1"/>
      <c r="AQ90" s="1"/>
    </row>
    <row r="91" spans="1:43" x14ac:dyDescent="0.3">
      <c r="A91" s="1"/>
      <c r="B91" s="1"/>
      <c r="C91" s="6"/>
      <c r="D91" s="1"/>
      <c r="E91" s="1"/>
      <c r="F91" s="1"/>
      <c r="G91" s="1"/>
      <c r="I91" s="1"/>
      <c r="J91" s="1"/>
      <c r="K91" s="1"/>
      <c r="L91" s="1"/>
      <c r="M91" s="1"/>
      <c r="N91" s="1"/>
      <c r="O91" s="1"/>
      <c r="P91" s="1"/>
      <c r="AC91" s="1" t="s">
        <v>48</v>
      </c>
      <c r="AD91" s="1" t="s">
        <v>49</v>
      </c>
      <c r="AE91" s="1">
        <v>0</v>
      </c>
      <c r="AF91" s="1">
        <v>390</v>
      </c>
      <c r="AG91" s="4">
        <f t="shared" ref="AG91:AG100" si="11">AF91*AE91</f>
        <v>0</v>
      </c>
      <c r="AH91" s="1" t="s">
        <v>51</v>
      </c>
      <c r="AJ91" s="1"/>
      <c r="AK91" s="1"/>
      <c r="AL91" s="1"/>
      <c r="AM91" s="1"/>
      <c r="AN91" s="1"/>
      <c r="AO91" s="4"/>
      <c r="AP91" s="1"/>
      <c r="AQ91" s="1"/>
    </row>
    <row r="92" spans="1:43" x14ac:dyDescent="0.3">
      <c r="A92" s="1"/>
      <c r="B92" s="1"/>
      <c r="C92" s="6"/>
      <c r="D92" s="1"/>
      <c r="E92" s="1"/>
      <c r="F92" s="1"/>
      <c r="G92" s="1"/>
      <c r="I92" s="1"/>
      <c r="J92" s="1"/>
      <c r="K92" s="1"/>
      <c r="L92" s="1"/>
      <c r="M92" s="1"/>
      <c r="N92" s="1"/>
      <c r="O92" s="1"/>
      <c r="P92" s="1"/>
      <c r="AC92" s="1" t="s">
        <v>48</v>
      </c>
      <c r="AD92" s="1" t="s">
        <v>23</v>
      </c>
      <c r="AE92" s="1">
        <v>0</v>
      </c>
      <c r="AF92" s="1">
        <v>390</v>
      </c>
      <c r="AG92" s="4">
        <f t="shared" si="11"/>
        <v>0</v>
      </c>
      <c r="AH92" s="1" t="s">
        <v>51</v>
      </c>
    </row>
    <row r="93" spans="1:43" x14ac:dyDescent="0.3">
      <c r="A93" s="1"/>
      <c r="B93" s="1"/>
      <c r="C93" s="6"/>
      <c r="D93" s="1"/>
      <c r="E93" s="1"/>
      <c r="F93" s="1"/>
      <c r="G93" s="1"/>
      <c r="I93" s="1"/>
      <c r="J93" s="1"/>
      <c r="K93" s="1"/>
      <c r="L93" s="1"/>
      <c r="M93" s="1"/>
      <c r="N93" s="1"/>
      <c r="O93" s="1"/>
      <c r="P93" s="1"/>
      <c r="AC93" s="1" t="s">
        <v>48</v>
      </c>
      <c r="AD93" s="1" t="s">
        <v>2</v>
      </c>
      <c r="AE93" s="1">
        <v>0</v>
      </c>
      <c r="AF93" s="1">
        <v>390</v>
      </c>
      <c r="AG93" s="4">
        <f t="shared" si="11"/>
        <v>0</v>
      </c>
      <c r="AH93" s="1" t="s">
        <v>51</v>
      </c>
    </row>
    <row r="94" spans="1:43" x14ac:dyDescent="0.3">
      <c r="A94" s="1"/>
      <c r="B94" s="1"/>
      <c r="C94" s="6"/>
      <c r="D94" s="1"/>
      <c r="E94" s="1"/>
      <c r="F94" s="1"/>
      <c r="G94" s="1"/>
      <c r="I94" s="1"/>
      <c r="J94" s="1"/>
      <c r="K94" s="1"/>
      <c r="L94" s="1"/>
      <c r="M94" s="1"/>
      <c r="N94" s="1"/>
      <c r="O94" s="1"/>
      <c r="P94" s="1"/>
      <c r="AC94" s="1" t="s">
        <v>48</v>
      </c>
      <c r="AD94" s="1" t="s">
        <v>31</v>
      </c>
      <c r="AE94" s="1">
        <v>0</v>
      </c>
      <c r="AF94" s="1">
        <v>390</v>
      </c>
      <c r="AG94" s="4">
        <f t="shared" si="11"/>
        <v>0</v>
      </c>
      <c r="AH94" s="1" t="s">
        <v>51</v>
      </c>
      <c r="AI94" s="7"/>
    </row>
    <row r="95" spans="1:43" x14ac:dyDescent="0.3">
      <c r="A95" s="1"/>
      <c r="B95" s="1"/>
      <c r="C95" s="6"/>
      <c r="D95" s="1"/>
      <c r="E95" s="1"/>
      <c r="F95" s="1"/>
      <c r="G95" s="1"/>
      <c r="I95" s="1"/>
      <c r="J95" s="1"/>
      <c r="K95" s="1"/>
      <c r="L95" s="1"/>
      <c r="M95" s="1"/>
      <c r="N95" s="1"/>
      <c r="O95" s="1"/>
      <c r="P95" s="1"/>
      <c r="AC95" s="1" t="s">
        <v>7</v>
      </c>
      <c r="AD95" s="1" t="s">
        <v>6</v>
      </c>
      <c r="AE95" s="1">
        <v>0</v>
      </c>
      <c r="AF95" s="1">
        <v>390</v>
      </c>
      <c r="AG95" s="4">
        <f t="shared" si="11"/>
        <v>0</v>
      </c>
      <c r="AH95" s="1" t="s">
        <v>51</v>
      </c>
    </row>
    <row r="96" spans="1:43" x14ac:dyDescent="0.3">
      <c r="A96" s="1"/>
      <c r="B96" s="1"/>
      <c r="C96" s="6"/>
      <c r="D96" s="1"/>
      <c r="E96" s="1"/>
      <c r="F96" s="1"/>
      <c r="G96" s="1"/>
      <c r="I96" s="1"/>
      <c r="J96" s="1"/>
      <c r="K96" s="1"/>
      <c r="L96" s="1"/>
      <c r="M96" s="1"/>
      <c r="N96" s="1"/>
      <c r="O96" s="1"/>
      <c r="P96" s="1"/>
      <c r="AC96" s="1" t="s">
        <v>43</v>
      </c>
      <c r="AD96" s="1" t="s">
        <v>44</v>
      </c>
      <c r="AE96" s="1">
        <v>0</v>
      </c>
      <c r="AF96" s="1">
        <v>245</v>
      </c>
      <c r="AG96" s="4">
        <f t="shared" si="11"/>
        <v>0</v>
      </c>
      <c r="AH96" s="1"/>
    </row>
    <row r="97" spans="1:35" x14ac:dyDescent="0.3">
      <c r="A97" s="1"/>
      <c r="B97" s="1"/>
      <c r="C97" s="6"/>
      <c r="D97" s="1"/>
      <c r="E97" s="1"/>
      <c r="F97" s="1"/>
      <c r="G97" s="1"/>
      <c r="I97" s="1"/>
      <c r="J97" s="1"/>
      <c r="K97" s="1"/>
      <c r="L97" s="1"/>
      <c r="M97" s="1"/>
      <c r="N97" s="1"/>
      <c r="O97" s="1"/>
      <c r="P97" s="1"/>
      <c r="AC97" s="1" t="s">
        <v>43</v>
      </c>
      <c r="AD97" s="1" t="s">
        <v>45</v>
      </c>
      <c r="AE97" s="1">
        <v>0</v>
      </c>
      <c r="AF97" s="1">
        <v>245</v>
      </c>
      <c r="AG97" s="4">
        <f t="shared" si="11"/>
        <v>0</v>
      </c>
      <c r="AH97" s="1"/>
      <c r="AI97" s="7"/>
    </row>
    <row r="98" spans="1:35" x14ac:dyDescent="0.3">
      <c r="A98" s="1"/>
      <c r="B98" s="1"/>
      <c r="C98" s="6"/>
      <c r="D98" s="1"/>
      <c r="E98" s="1"/>
      <c r="F98" s="1"/>
      <c r="G98" s="1"/>
      <c r="I98" s="1"/>
      <c r="J98" s="1"/>
      <c r="K98" s="1"/>
      <c r="L98" s="1"/>
      <c r="M98" s="1"/>
      <c r="N98" s="1"/>
      <c r="O98" s="1"/>
      <c r="P98" s="1"/>
      <c r="AC98" s="1" t="s">
        <v>43</v>
      </c>
      <c r="AD98" s="1" t="s">
        <v>46</v>
      </c>
      <c r="AE98" s="1">
        <v>0</v>
      </c>
      <c r="AF98" s="1">
        <v>245</v>
      </c>
      <c r="AG98" s="4">
        <f t="shared" si="11"/>
        <v>0</v>
      </c>
      <c r="AH98" s="1"/>
    </row>
    <row r="99" spans="1:35" x14ac:dyDescent="0.3">
      <c r="A99" s="1"/>
      <c r="B99" s="1"/>
      <c r="C99" s="6"/>
      <c r="D99" s="1"/>
      <c r="E99" s="1"/>
      <c r="F99" s="1"/>
      <c r="G99" s="1"/>
      <c r="I99" s="1"/>
      <c r="J99" s="1"/>
      <c r="K99" s="1"/>
      <c r="L99" s="1"/>
      <c r="M99" s="1"/>
      <c r="N99" s="1"/>
      <c r="O99" s="1"/>
      <c r="P99" s="1"/>
      <c r="AC99" s="1" t="s">
        <v>43</v>
      </c>
      <c r="AD99" s="1" t="s">
        <v>47</v>
      </c>
      <c r="AE99" s="1">
        <v>0</v>
      </c>
      <c r="AF99" s="1">
        <v>245</v>
      </c>
      <c r="AG99" s="4">
        <f t="shared" si="11"/>
        <v>0</v>
      </c>
      <c r="AH99" s="1"/>
    </row>
    <row r="100" spans="1:35" x14ac:dyDescent="0.3">
      <c r="A100" s="1"/>
      <c r="B100" s="1"/>
      <c r="C100" s="6"/>
      <c r="D100" s="1"/>
      <c r="E100" s="1"/>
      <c r="F100" s="1"/>
      <c r="G100" s="1"/>
      <c r="I100" s="1"/>
      <c r="J100" s="1"/>
      <c r="K100" s="1"/>
      <c r="L100" s="1"/>
      <c r="M100" s="1"/>
      <c r="N100" s="1"/>
      <c r="O100" s="1"/>
      <c r="P100" s="1"/>
      <c r="AC100" s="1" t="s">
        <v>43</v>
      </c>
      <c r="AD100" s="1" t="s">
        <v>53</v>
      </c>
      <c r="AE100" s="1">
        <v>0</v>
      </c>
      <c r="AF100" s="1">
        <v>245</v>
      </c>
      <c r="AG100" s="4">
        <f t="shared" si="11"/>
        <v>0</v>
      </c>
      <c r="AH100" s="1"/>
    </row>
    <row r="101" spans="1:35" x14ac:dyDescent="0.3">
      <c r="A101" s="1"/>
      <c r="B101" s="1"/>
      <c r="C101" s="6"/>
      <c r="D101" s="1"/>
      <c r="E101" s="1"/>
      <c r="F101" s="1"/>
      <c r="G101" s="1"/>
      <c r="I101" s="1"/>
      <c r="J101" s="1"/>
      <c r="K101" s="1"/>
      <c r="L101" s="1"/>
      <c r="M101" s="1"/>
      <c r="N101" s="1"/>
      <c r="O101" s="1"/>
      <c r="P101" s="1"/>
      <c r="AC101" s="1" t="s">
        <v>43</v>
      </c>
      <c r="AD101" s="1" t="s">
        <v>2</v>
      </c>
      <c r="AE101" s="6"/>
      <c r="AF101" s="1">
        <v>245</v>
      </c>
      <c r="AG101" s="6"/>
      <c r="AH101" s="6"/>
    </row>
    <row r="102" spans="1:35" x14ac:dyDescent="0.3">
      <c r="A102" s="1"/>
      <c r="B102" s="1"/>
      <c r="C102" s="6"/>
      <c r="D102" s="1"/>
      <c r="E102" s="1"/>
      <c r="F102" s="1"/>
      <c r="G102" s="1"/>
      <c r="I102" s="1"/>
      <c r="J102" s="1"/>
      <c r="K102" s="1"/>
      <c r="L102" s="1"/>
      <c r="M102" s="1"/>
      <c r="N102" s="1"/>
      <c r="O102" s="1"/>
      <c r="P102" s="1"/>
      <c r="AC102" s="1" t="s">
        <v>19</v>
      </c>
      <c r="AD102" s="1" t="s">
        <v>11</v>
      </c>
      <c r="AE102" s="1">
        <v>41.9</v>
      </c>
      <c r="AF102" s="1">
        <v>195</v>
      </c>
      <c r="AG102" s="4">
        <f t="shared" ref="AG102:AG105" si="12">AF102*AE102</f>
        <v>8170.5</v>
      </c>
      <c r="AH102" s="1" t="s">
        <v>21</v>
      </c>
    </row>
    <row r="103" spans="1:35" x14ac:dyDescent="0.3">
      <c r="A103" s="1"/>
      <c r="B103" s="1"/>
      <c r="C103" s="6"/>
      <c r="D103" s="1"/>
      <c r="E103" s="1"/>
      <c r="F103" s="1"/>
      <c r="G103" s="1"/>
      <c r="I103" s="1"/>
      <c r="J103" s="1"/>
      <c r="K103" s="1"/>
      <c r="L103" s="1"/>
      <c r="M103" s="1"/>
      <c r="N103" s="1"/>
      <c r="O103" s="1"/>
      <c r="P103" s="1"/>
      <c r="AC103" s="1" t="s">
        <v>19</v>
      </c>
      <c r="AD103" s="1" t="s">
        <v>8</v>
      </c>
      <c r="AE103" s="1">
        <v>16.75</v>
      </c>
      <c r="AF103" s="1">
        <v>195</v>
      </c>
      <c r="AG103" s="4">
        <f t="shared" si="12"/>
        <v>3266.25</v>
      </c>
      <c r="AH103" s="1" t="s">
        <v>21</v>
      </c>
    </row>
    <row r="104" spans="1:35" x14ac:dyDescent="0.3">
      <c r="A104" s="1"/>
      <c r="B104" s="1"/>
      <c r="C104" s="6"/>
      <c r="D104" s="1"/>
      <c r="E104" s="1"/>
      <c r="F104" s="1"/>
      <c r="G104" s="1"/>
      <c r="I104" s="1"/>
      <c r="J104" s="1"/>
      <c r="K104" s="1"/>
      <c r="L104" s="1"/>
      <c r="M104" s="1"/>
      <c r="N104" s="1"/>
      <c r="O104" s="1"/>
      <c r="P104" s="1"/>
      <c r="AC104" s="1" t="s">
        <v>19</v>
      </c>
      <c r="AD104" s="1" t="s">
        <v>2</v>
      </c>
      <c r="AE104" s="1">
        <v>42.9</v>
      </c>
      <c r="AF104" s="1">
        <v>195</v>
      </c>
      <c r="AG104" s="4">
        <f t="shared" si="12"/>
        <v>8365.5</v>
      </c>
      <c r="AH104" s="1" t="s">
        <v>21</v>
      </c>
    </row>
    <row r="105" spans="1:35" x14ac:dyDescent="0.3">
      <c r="A105" s="1"/>
      <c r="B105" s="1"/>
      <c r="C105" s="6"/>
      <c r="D105" s="1"/>
      <c r="E105" s="1"/>
      <c r="F105" s="1"/>
      <c r="G105" s="1"/>
      <c r="I105" s="1"/>
      <c r="J105" s="1"/>
      <c r="K105" s="1"/>
      <c r="L105" s="1"/>
      <c r="M105" s="1"/>
      <c r="N105" s="1"/>
      <c r="O105" s="1"/>
      <c r="P105" s="1"/>
      <c r="AC105" s="1" t="s">
        <v>19</v>
      </c>
      <c r="AD105" s="1" t="s">
        <v>20</v>
      </c>
      <c r="AE105" s="1">
        <v>84</v>
      </c>
      <c r="AF105" s="1">
        <v>195</v>
      </c>
      <c r="AG105" s="4">
        <f t="shared" si="12"/>
        <v>16380</v>
      </c>
      <c r="AH105" s="1" t="s">
        <v>21</v>
      </c>
    </row>
    <row r="106" spans="1:35" x14ac:dyDescent="0.3">
      <c r="A106" s="1"/>
      <c r="B106" s="1"/>
      <c r="C106" s="6"/>
      <c r="D106" s="1"/>
      <c r="E106" s="1"/>
      <c r="F106" s="1"/>
      <c r="G106" s="1"/>
      <c r="I106" s="1"/>
      <c r="J106" s="1"/>
      <c r="K106" s="1"/>
      <c r="L106" s="1"/>
      <c r="M106" s="1"/>
      <c r="N106" s="1"/>
      <c r="O106" s="1"/>
      <c r="P106" s="1"/>
      <c r="AC106" s="1"/>
      <c r="AD106" s="1"/>
      <c r="AE106" s="1"/>
      <c r="AF106" s="1"/>
      <c r="AG106" s="1"/>
      <c r="AH106" s="1"/>
    </row>
    <row r="107" spans="1:35" x14ac:dyDescent="0.3">
      <c r="A107" s="1"/>
      <c r="B107" s="1"/>
      <c r="C107" s="6"/>
      <c r="D107" s="1"/>
      <c r="E107" s="1"/>
      <c r="F107" s="1"/>
      <c r="G107" s="1"/>
      <c r="I107" s="1"/>
      <c r="J107" s="1"/>
      <c r="K107" s="1"/>
      <c r="L107" s="1"/>
      <c r="M107" s="1"/>
      <c r="N107" s="1"/>
      <c r="O107" s="1"/>
      <c r="P107" s="1"/>
      <c r="AC107" s="1"/>
      <c r="AD107" s="1"/>
      <c r="AE107" s="1"/>
      <c r="AF107" s="1"/>
      <c r="AG107" s="1"/>
      <c r="AH107" s="1"/>
    </row>
    <row r="108" spans="1:35" x14ac:dyDescent="0.3">
      <c r="A108" s="1"/>
      <c r="B108" s="1"/>
      <c r="C108" s="6"/>
      <c r="D108" s="1"/>
      <c r="E108" s="1"/>
      <c r="F108" s="1"/>
      <c r="G108" s="1"/>
      <c r="I108" s="1"/>
      <c r="J108" s="1"/>
      <c r="K108" s="1"/>
      <c r="L108" s="1"/>
      <c r="M108" s="1"/>
      <c r="N108" s="1"/>
      <c r="O108" s="1"/>
      <c r="P108" s="1"/>
    </row>
    <row r="109" spans="1:35" x14ac:dyDescent="0.3">
      <c r="A109" s="1"/>
      <c r="B109" s="1"/>
      <c r="C109" s="6"/>
      <c r="D109" s="1"/>
      <c r="E109" s="1"/>
      <c r="F109" s="1"/>
      <c r="G109" s="1"/>
      <c r="I109" s="1"/>
      <c r="J109" s="1"/>
      <c r="K109" s="1"/>
      <c r="L109" s="1"/>
      <c r="M109" s="1"/>
      <c r="N109" s="1"/>
      <c r="O109" s="1"/>
      <c r="P109" s="1"/>
    </row>
    <row r="110" spans="1:35" x14ac:dyDescent="0.3">
      <c r="A110" s="1"/>
      <c r="B110" s="1"/>
      <c r="C110" s="6"/>
      <c r="D110" s="1"/>
      <c r="E110" s="1"/>
      <c r="F110" s="1"/>
      <c r="G110" s="1"/>
    </row>
    <row r="111" spans="1:35" x14ac:dyDescent="0.3">
      <c r="A111" s="1"/>
      <c r="B111" s="1"/>
      <c r="D111" s="1"/>
      <c r="E111" s="1"/>
      <c r="F111" s="1"/>
      <c r="G111" s="1"/>
    </row>
    <row r="112" spans="1:35" x14ac:dyDescent="0.3">
      <c r="A112" s="1"/>
      <c r="B112" s="1"/>
      <c r="D112" s="1"/>
      <c r="E112" s="1"/>
      <c r="F112" s="1"/>
      <c r="G112" s="1"/>
    </row>
    <row r="113" spans="1:7" x14ac:dyDescent="0.3">
      <c r="A113" s="1"/>
      <c r="B113" s="1"/>
      <c r="D113" s="1"/>
      <c r="E113" s="1"/>
      <c r="F113" s="1"/>
      <c r="G113" s="1"/>
    </row>
    <row r="114" spans="1:7" x14ac:dyDescent="0.3">
      <c r="A114" s="1"/>
      <c r="B114" s="1"/>
      <c r="D114" s="1"/>
      <c r="E114" s="1"/>
      <c r="F114" s="1"/>
      <c r="G114" s="1"/>
    </row>
    <row r="115" spans="1:7" x14ac:dyDescent="0.3">
      <c r="A115" s="1"/>
      <c r="B115" s="1"/>
      <c r="D115" s="1"/>
      <c r="E115" s="1"/>
      <c r="F115" s="1"/>
      <c r="G115" s="1"/>
    </row>
    <row r="116" spans="1:7" x14ac:dyDescent="0.3">
      <c r="A116" s="1"/>
      <c r="B116" s="1"/>
      <c r="D116" s="1"/>
      <c r="E116" s="1"/>
      <c r="F116" s="1"/>
      <c r="G116" s="1"/>
    </row>
    <row r="117" spans="1:7" x14ac:dyDescent="0.3">
      <c r="A117" s="1"/>
      <c r="B117" s="1"/>
      <c r="D117" s="1"/>
      <c r="E117" s="1"/>
      <c r="F117" s="1"/>
      <c r="G117" s="1"/>
    </row>
    <row r="118" spans="1:7" x14ac:dyDescent="0.3">
      <c r="A118" s="1"/>
      <c r="B118" s="1"/>
      <c r="D118" s="1"/>
      <c r="E118" s="1"/>
      <c r="F118" s="1"/>
      <c r="G118" s="1"/>
    </row>
    <row r="119" spans="1:7" x14ac:dyDescent="0.3">
      <c r="A119" s="1"/>
      <c r="B119" s="1"/>
      <c r="D119" s="1"/>
      <c r="E119" s="1"/>
      <c r="F119" s="1"/>
      <c r="G119" s="1"/>
    </row>
    <row r="120" spans="1:7" x14ac:dyDescent="0.3">
      <c r="A120" s="1"/>
      <c r="B120" s="1"/>
      <c r="D120" s="1"/>
      <c r="E120" s="1"/>
      <c r="F120" s="1"/>
      <c r="G120" s="1"/>
    </row>
    <row r="121" spans="1:7" x14ac:dyDescent="0.3">
      <c r="A121" s="1"/>
      <c r="B121" s="1"/>
      <c r="D121" s="1"/>
      <c r="E121" s="1"/>
      <c r="F121" s="1"/>
      <c r="G121" s="1"/>
    </row>
    <row r="122" spans="1:7" x14ac:dyDescent="0.3">
      <c r="A122" s="1"/>
      <c r="B122" s="1"/>
      <c r="D122" s="1"/>
      <c r="E122" s="1"/>
      <c r="F122" s="1"/>
      <c r="G122" s="1"/>
    </row>
    <row r="123" spans="1:7" x14ac:dyDescent="0.3">
      <c r="A123" s="1"/>
      <c r="B123" s="1"/>
      <c r="D123" s="1"/>
      <c r="E123" s="1"/>
      <c r="F123" s="1"/>
      <c r="G123" s="1"/>
    </row>
  </sheetData>
  <mergeCells count="2">
    <mergeCell ref="A1:F1"/>
    <mergeCell ref="AC1:AH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المخزن قماش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20210546</dc:creator>
  <cp:lastModifiedBy>20210546</cp:lastModifiedBy>
  <dcterms:created xsi:type="dcterms:W3CDTF">2026-04-15T16:03:25Z</dcterms:created>
  <dcterms:modified xsi:type="dcterms:W3CDTF">2026-08-24T18:01:09Z</dcterms:modified>
</cp:coreProperties>
</file>