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ش\المخزن\"/>
    </mc:Choice>
  </mc:AlternateContent>
  <xr:revisionPtr revIDLastSave="0" documentId="13_ncr:1_{2F843E7A-1089-43C6-8B91-7808FFF82E2D}" xr6:coauthVersionLast="47" xr6:coauthVersionMax="47" xr10:uidLastSave="{00000000-0000-0000-0000-000000000000}"/>
  <bookViews>
    <workbookView xWindow="-108" yWindow="-108" windowWidth="23256" windowHeight="12456" xr2:uid="{7E6CEC4D-3FDF-4038-B730-9BBDFCAAD5C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L5" i="1"/>
  <c r="L6" i="1"/>
  <c r="L3" i="1"/>
  <c r="E18" i="1"/>
  <c r="E19" i="1"/>
  <c r="E20" i="1"/>
  <c r="E17" i="1"/>
  <c r="E16" i="1"/>
  <c r="E15" i="1"/>
  <c r="E11" i="1"/>
  <c r="E14" i="1"/>
  <c r="E13" i="1"/>
  <c r="E12" i="1"/>
  <c r="E10" i="1"/>
  <c r="E9" i="1"/>
  <c r="E8" i="1"/>
  <c r="E7" i="1"/>
  <c r="E6" i="1"/>
  <c r="E3" i="1"/>
  <c r="E4" i="1"/>
  <c r="E5" i="1"/>
</calcChain>
</file>

<file path=xl/sharedStrings.xml><?xml version="1.0" encoding="utf-8"?>
<sst xmlns="http://schemas.openxmlformats.org/spreadsheetml/2006/main" count="70" uniqueCount="61">
  <si>
    <t xml:space="preserve">شروال باجي انتر لوك </t>
  </si>
  <si>
    <t>B04</t>
  </si>
  <si>
    <t xml:space="preserve">شروال سمر ميلتون اوفر سايز </t>
  </si>
  <si>
    <t>B03</t>
  </si>
  <si>
    <t xml:space="preserve">شروال وايد ليج بالنسياجا انتر لوك </t>
  </si>
  <si>
    <t>B02</t>
  </si>
  <si>
    <t xml:space="preserve">شروال سمر ميلتون جوردن </t>
  </si>
  <si>
    <t>B01</t>
  </si>
  <si>
    <t xml:space="preserve">اجمالي رصيد الموديل </t>
  </si>
  <si>
    <t xml:space="preserve">عدد الموديل </t>
  </si>
  <si>
    <t xml:space="preserve">اسم الموديل </t>
  </si>
  <si>
    <t xml:space="preserve">سعر البيع </t>
  </si>
  <si>
    <t xml:space="preserve">كود </t>
  </si>
  <si>
    <t>بدي ابيض ساده كاردونيه</t>
  </si>
  <si>
    <t>MB02</t>
  </si>
  <si>
    <t>MB01</t>
  </si>
  <si>
    <t xml:space="preserve">تيشرت بالنسياجا </t>
  </si>
  <si>
    <t>دبل سوسته يائه</t>
  </si>
  <si>
    <t>MB013</t>
  </si>
  <si>
    <t>MB00</t>
  </si>
  <si>
    <t>270-240</t>
  </si>
  <si>
    <t>310-340</t>
  </si>
  <si>
    <t>MB05</t>
  </si>
  <si>
    <t>MB08</t>
  </si>
  <si>
    <t>تيشرت سبعه تريكو</t>
  </si>
  <si>
    <t>350-380</t>
  </si>
  <si>
    <t>MB06</t>
  </si>
  <si>
    <t>MB07</t>
  </si>
  <si>
    <t>تيشرت راوند رجلان تطريز SUB</t>
  </si>
  <si>
    <t>تيشرت راوند رجلان تطريز جلد</t>
  </si>
  <si>
    <t>275-310</t>
  </si>
  <si>
    <t>تيشرت نيو كاردونيل يائه قصات</t>
  </si>
  <si>
    <t>تيشرت كاردونيه ليائه (عصام صاصا)</t>
  </si>
  <si>
    <t>250-275</t>
  </si>
  <si>
    <t>B07</t>
  </si>
  <si>
    <t>345-365</t>
  </si>
  <si>
    <t xml:space="preserve">ترنج انترلوك NR </t>
  </si>
  <si>
    <t xml:space="preserve">شروال ميلتون وايد ليج قصات </t>
  </si>
  <si>
    <t>B06</t>
  </si>
  <si>
    <t>800-850</t>
  </si>
  <si>
    <t xml:space="preserve">تيشرت بولو ليفربول </t>
  </si>
  <si>
    <t>MB010</t>
  </si>
  <si>
    <t>دبل سوسته يائه *</t>
  </si>
  <si>
    <t>B019</t>
  </si>
  <si>
    <t xml:space="preserve">سبعه تريكو واساور </t>
  </si>
  <si>
    <t>MB011</t>
  </si>
  <si>
    <t>235-250</t>
  </si>
  <si>
    <t>شورت تطريز جلد</t>
  </si>
  <si>
    <t>280-300</t>
  </si>
  <si>
    <t xml:space="preserve">شروال اديداس وايد ليج </t>
  </si>
  <si>
    <t>شروال شريط اوفر سايز</t>
  </si>
  <si>
    <t>MB09</t>
  </si>
  <si>
    <t xml:space="preserve">تيشرت انترلوك تريكو </t>
  </si>
  <si>
    <t>B101</t>
  </si>
  <si>
    <t>B102</t>
  </si>
  <si>
    <t>شروال انترلوك وايد ليج اديداس</t>
  </si>
  <si>
    <t>B103</t>
  </si>
  <si>
    <t>B104</t>
  </si>
  <si>
    <t xml:space="preserve">شروال انترلوك NOT </t>
  </si>
  <si>
    <t>B110</t>
  </si>
  <si>
    <t>B111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</si>
</sst>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ج.م.‏-C01]_-;\-* #,##0.00\ [$ج.م.‏-C01]_-;_-* &quot;-&quot;??\ [$ج.م.‏-C01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6513-7EE2-4B97-9A1C-DD1461149990}">
  <dimension ref="A2:L21"/>
  <sheetViews>
    <sheetView rightToLeft="1" tabSelected="1" zoomScale="84" workbookViewId="0">
      <selection activeCell="H16" sqref="H16"/>
    </sheetView>
  </sheetViews>
  <sheetFormatPr defaultRowHeight="14.4" x14ac:dyDescent="0.3"/>
  <cols>
    <col min="3" max="3" width="34.88671875" customWidth="1"/>
    <col min="4" max="4" width="21.21875" customWidth="1"/>
    <col min="5" max="5" width="15.33203125" customWidth="1"/>
    <col min="8" max="8" width="15.6640625" customWidth="1"/>
    <col min="9" max="9" width="15.109375" customWidth="1"/>
    <col min="10" max="10" width="19.77734375" customWidth="1"/>
    <col min="11" max="11" width="14.6640625" customWidth="1"/>
    <col min="12" max="12" width="15.88671875" customWidth="1"/>
  </cols>
  <sheetData>
    <row r="2" spans="1:12" x14ac:dyDescent="0.3">
      <c r="A2" s="2" t="s">
        <v>12</v>
      </c>
      <c r="B2" s="2" t="s">
        <v>11</v>
      </c>
      <c r="C2" s="2" t="s">
        <v>10</v>
      </c>
      <c r="D2" s="2" t="s">
        <v>9</v>
      </c>
      <c r="E2" s="2" t="s">
        <v>8</v>
      </c>
      <c r="H2" s="2" t="s">
        <v>12</v>
      </c>
      <c r="I2" s="2" t="s">
        <v>11</v>
      </c>
      <c r="J2" s="2" t="s">
        <v>10</v>
      </c>
      <c r="K2" s="2" t="s">
        <v>9</v>
      </c>
      <c r="L2" s="2" t="s">
        <v>8</v>
      </c>
    </row>
    <row r="3" spans="1:12" x14ac:dyDescent="0.3">
      <c r="A3" s="1" t="s">
        <v>7</v>
      </c>
      <c r="B3" s="1">
        <v>325</v>
      </c>
      <c r="C3" s="1" t="s">
        <v>6</v>
      </c>
      <c r="D3" s="1">
        <v>160</v>
      </c>
      <c r="E3" s="1">
        <f>B3*D3</f>
        <v>52000</v>
      </c>
      <c r="H3" s="4" t="s">
        <v>54</v>
      </c>
      <c r="I3" s="4">
        <v>355</v>
      </c>
      <c r="J3" s="4" t="s">
        <v>49</v>
      </c>
      <c r="K3" s="4">
        <v>92</v>
      </c>
      <c r="L3" s="6">
        <f>K3*I3</f>
        <v>32660</v>
      </c>
    </row>
    <row r="4" spans="1:12" x14ac:dyDescent="0.3">
      <c r="A4" s="1" t="s">
        <v>5</v>
      </c>
      <c r="B4" s="1">
        <v>370</v>
      </c>
      <c r="C4" s="1" t="s">
        <v>4</v>
      </c>
      <c r="D4" s="1">
        <v>116</v>
      </c>
      <c r="E4" s="1">
        <f>D4*B4</f>
        <v>42920</v>
      </c>
      <c r="H4" s="4" t="s">
        <v>53</v>
      </c>
      <c r="I4" s="4">
        <v>350</v>
      </c>
      <c r="J4" s="4" t="s">
        <v>50</v>
      </c>
      <c r="K4" s="4">
        <v>60</v>
      </c>
      <c r="L4" s="6">
        <f t="shared" ref="L4:L6" si="0">K4*I4</f>
        <v>21000</v>
      </c>
    </row>
    <row r="5" spans="1:12" x14ac:dyDescent="0.3">
      <c r="A5" s="1" t="s">
        <v>3</v>
      </c>
      <c r="B5" s="1">
        <v>310</v>
      </c>
      <c r="C5" s="1" t="s">
        <v>2</v>
      </c>
      <c r="D5" s="1">
        <v>138</v>
      </c>
      <c r="E5" s="1">
        <f>D5*B5</f>
        <v>42780</v>
      </c>
      <c r="H5" s="4" t="s">
        <v>56</v>
      </c>
      <c r="I5" s="4">
        <v>380</v>
      </c>
      <c r="J5" s="4" t="s">
        <v>55</v>
      </c>
      <c r="K5" s="4">
        <v>116</v>
      </c>
      <c r="L5" s="6">
        <f t="shared" si="0"/>
        <v>44080</v>
      </c>
    </row>
    <row r="6" spans="1:12" x14ac:dyDescent="0.3">
      <c r="A6" s="1" t="s">
        <v>1</v>
      </c>
      <c r="B6" s="1">
        <v>420</v>
      </c>
      <c r="C6" s="1" t="s">
        <v>0</v>
      </c>
      <c r="D6" s="1">
        <v>219</v>
      </c>
      <c r="E6" s="1">
        <f>D6*B6</f>
        <v>91980</v>
      </c>
      <c r="H6" s="4" t="s">
        <v>57</v>
      </c>
      <c r="I6" s="4">
        <v>340</v>
      </c>
      <c r="J6" s="4" t="s">
        <v>58</v>
      </c>
      <c r="K6" s="4">
        <v>148</v>
      </c>
      <c r="L6" s="6">
        <f t="shared" si="0"/>
        <v>50320</v>
      </c>
    </row>
    <row r="7" spans="1:12" x14ac:dyDescent="0.3">
      <c r="A7" s="1" t="s">
        <v>19</v>
      </c>
      <c r="B7" s="1">
        <v>170</v>
      </c>
      <c r="C7" s="1" t="s">
        <v>13</v>
      </c>
      <c r="D7" s="1">
        <v>156</v>
      </c>
      <c r="E7" s="1">
        <f>D7*B7</f>
        <v>26520</v>
      </c>
      <c r="H7" s="5" t="s">
        <v>59</v>
      </c>
      <c r="I7" s="5"/>
      <c r="J7" s="5"/>
      <c r="K7" s="5"/>
      <c r="L7" s="7"/>
    </row>
    <row r="8" spans="1:12" x14ac:dyDescent="0.3">
      <c r="A8" s="1" t="s">
        <v>15</v>
      </c>
      <c r="B8" s="1" t="s">
        <v>20</v>
      </c>
      <c r="C8" s="1" t="s">
        <v>32</v>
      </c>
      <c r="D8" s="1">
        <v>196</v>
      </c>
      <c r="E8" s="1">
        <f>240*196</f>
        <v>47040</v>
      </c>
      <c r="H8" s="5" t="s">
        <v>60</v>
      </c>
      <c r="I8" s="5"/>
      <c r="J8" s="5"/>
      <c r="K8" s="5"/>
      <c r="L8" s="7"/>
    </row>
    <row r="9" spans="1:12" x14ac:dyDescent="0.3">
      <c r="A9" s="1" t="s">
        <v>14</v>
      </c>
      <c r="B9" s="1" t="s">
        <v>21</v>
      </c>
      <c r="C9" s="1" t="s">
        <v>16</v>
      </c>
      <c r="D9" s="1">
        <v>156</v>
      </c>
      <c r="E9" s="1">
        <f>310*156</f>
        <v>48360</v>
      </c>
    </row>
    <row r="10" spans="1:12" x14ac:dyDescent="0.3">
      <c r="A10" s="1" t="s">
        <v>18</v>
      </c>
      <c r="B10" s="1" t="s">
        <v>25</v>
      </c>
      <c r="C10" s="1" t="s">
        <v>17</v>
      </c>
      <c r="D10" s="1">
        <v>204</v>
      </c>
      <c r="E10" s="1">
        <f>350*204</f>
        <v>71400</v>
      </c>
    </row>
    <row r="11" spans="1:12" x14ac:dyDescent="0.3">
      <c r="A11" s="1" t="s">
        <v>22</v>
      </c>
      <c r="B11" s="1" t="s">
        <v>33</v>
      </c>
      <c r="C11" s="1" t="s">
        <v>24</v>
      </c>
      <c r="D11" s="1">
        <v>140</v>
      </c>
      <c r="E11" s="1">
        <f>140*250</f>
        <v>35000</v>
      </c>
    </row>
    <row r="12" spans="1:12" x14ac:dyDescent="0.3">
      <c r="A12" s="1" t="s">
        <v>23</v>
      </c>
      <c r="B12" s="1" t="s">
        <v>30</v>
      </c>
      <c r="C12" s="1" t="s">
        <v>31</v>
      </c>
      <c r="D12" s="1">
        <v>244</v>
      </c>
      <c r="E12" s="1">
        <f>244*275</f>
        <v>67100</v>
      </c>
    </row>
    <row r="13" spans="1:12" x14ac:dyDescent="0.3">
      <c r="A13" s="3" t="s">
        <v>26</v>
      </c>
      <c r="B13" s="1" t="s">
        <v>30</v>
      </c>
      <c r="C13" s="1" t="s">
        <v>28</v>
      </c>
      <c r="D13" s="1">
        <v>197</v>
      </c>
      <c r="E13" s="1">
        <f>197*275</f>
        <v>54175</v>
      </c>
    </row>
    <row r="14" spans="1:12" x14ac:dyDescent="0.3">
      <c r="A14" s="1" t="s">
        <v>27</v>
      </c>
      <c r="B14" s="1" t="s">
        <v>30</v>
      </c>
      <c r="C14" s="1" t="s">
        <v>29</v>
      </c>
      <c r="D14" s="1">
        <v>131</v>
      </c>
      <c r="E14" s="1">
        <f>131*275</f>
        <v>36025</v>
      </c>
    </row>
    <row r="15" spans="1:12" x14ac:dyDescent="0.3">
      <c r="A15" s="1" t="s">
        <v>34</v>
      </c>
      <c r="B15" s="1" t="s">
        <v>35</v>
      </c>
      <c r="C15" s="1" t="s">
        <v>37</v>
      </c>
      <c r="D15" s="1">
        <v>96</v>
      </c>
      <c r="E15" s="1">
        <f>96*345</f>
        <v>33120</v>
      </c>
    </row>
    <row r="16" spans="1:12" x14ac:dyDescent="0.3">
      <c r="A16" s="1" t="s">
        <v>38</v>
      </c>
      <c r="B16" s="1" t="s">
        <v>39</v>
      </c>
      <c r="C16" s="1" t="s">
        <v>36</v>
      </c>
      <c r="D16" s="1">
        <v>80</v>
      </c>
      <c r="E16" s="1">
        <f>80*800</f>
        <v>64000</v>
      </c>
    </row>
    <row r="17" spans="1:5" x14ac:dyDescent="0.3">
      <c r="A17" s="1" t="s">
        <v>41</v>
      </c>
      <c r="B17" s="1" t="s">
        <v>46</v>
      </c>
      <c r="C17" s="1" t="s">
        <v>40</v>
      </c>
      <c r="D17" s="1">
        <v>152</v>
      </c>
      <c r="E17" s="1">
        <f>D17*235</f>
        <v>35720</v>
      </c>
    </row>
    <row r="18" spans="1:5" x14ac:dyDescent="0.3">
      <c r="A18" s="1" t="s">
        <v>18</v>
      </c>
      <c r="B18" s="1" t="s">
        <v>25</v>
      </c>
      <c r="C18" s="1" t="s">
        <v>42</v>
      </c>
      <c r="D18" s="1">
        <v>160</v>
      </c>
      <c r="E18" s="1">
        <f>D18*350</f>
        <v>56000</v>
      </c>
    </row>
    <row r="19" spans="1:5" x14ac:dyDescent="0.3">
      <c r="A19" s="1" t="s">
        <v>43</v>
      </c>
      <c r="B19" s="1" t="s">
        <v>48</v>
      </c>
      <c r="C19" s="1" t="s">
        <v>47</v>
      </c>
      <c r="D19" s="1">
        <v>80</v>
      </c>
      <c r="E19" s="1">
        <f>D19*280</f>
        <v>22400</v>
      </c>
    </row>
    <row r="20" spans="1:5" x14ac:dyDescent="0.3">
      <c r="A20" s="1" t="s">
        <v>45</v>
      </c>
      <c r="B20" s="1">
        <v>250</v>
      </c>
      <c r="C20" s="1" t="s">
        <v>44</v>
      </c>
      <c r="D20" s="1">
        <v>124</v>
      </c>
      <c r="E20" s="1">
        <f>D20*B20</f>
        <v>31000</v>
      </c>
    </row>
    <row r="21" spans="1:5" x14ac:dyDescent="0.3">
      <c r="A21" s="1" t="s">
        <v>51</v>
      </c>
      <c r="B21" s="1"/>
      <c r="C21" s="1" t="s">
        <v>52</v>
      </c>
      <c r="D21" s="1">
        <v>156</v>
      </c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20210546</dc:creator>
  <cp:lastModifiedBy>20210546</cp:lastModifiedBy>
  <dcterms:created xsi:type="dcterms:W3CDTF">2026-04-15T16:05:20Z</dcterms:created>
  <dcterms:modified xsi:type="dcterms:W3CDTF">2026-08-07T12:46:24Z</dcterms:modified>
</cp:coreProperties>
</file>